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RBCOI\"/>
    </mc:Choice>
  </mc:AlternateContent>
  <xr:revisionPtr revIDLastSave="0" documentId="13_ncr:1_{430A3D42-58C4-4571-B7E6-1C59FF3659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lance 2022.02" sheetId="1" r:id="rId1"/>
    <sheet name="Balance sheet 2022.02" sheetId="6" r:id="rId2"/>
    <sheet name="P&amp;L 2022.0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5" i="4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5" i="1"/>
  <c r="C1" i="6"/>
  <c r="B18" i="1"/>
  <c r="B20" i="1"/>
  <c r="B21" i="1"/>
  <c r="B68" i="1"/>
  <c r="B69" i="1"/>
  <c r="B77" i="1"/>
  <c r="B114" i="1"/>
  <c r="B115" i="1"/>
  <c r="B116" i="1"/>
  <c r="B157" i="1"/>
  <c r="B158" i="1"/>
  <c r="B162" i="1"/>
  <c r="C3" i="1"/>
  <c r="C1" i="1"/>
  <c r="B6" i="1" s="1"/>
  <c r="B53" i="1" l="1"/>
  <c r="B46" i="1"/>
  <c r="B132" i="1"/>
  <c r="B93" i="1"/>
  <c r="B45" i="1"/>
  <c r="B131" i="1"/>
  <c r="B85" i="1"/>
  <c r="B37" i="1"/>
  <c r="B149" i="1"/>
  <c r="B110" i="1"/>
  <c r="B13" i="1"/>
  <c r="B147" i="1"/>
  <c r="B146" i="1"/>
  <c r="B99" i="1"/>
  <c r="B98" i="1"/>
  <c r="B94" i="1"/>
  <c r="B36" i="1"/>
  <c r="B165" i="1"/>
  <c r="B126" i="1"/>
  <c r="B83" i="1"/>
  <c r="B34" i="1"/>
  <c r="B14" i="1"/>
  <c r="B109" i="1"/>
  <c r="B61" i="1"/>
  <c r="B142" i="1"/>
  <c r="B50" i="1"/>
  <c r="B130" i="1"/>
  <c r="B164" i="1"/>
  <c r="B125" i="1"/>
  <c r="B82" i="1"/>
  <c r="B30" i="1"/>
  <c r="B66" i="1"/>
  <c r="B148" i="1"/>
  <c r="B62" i="1"/>
  <c r="B101" i="1"/>
  <c r="B100" i="1"/>
  <c r="B52" i="1"/>
  <c r="B141" i="1"/>
  <c r="B133" i="1"/>
  <c r="B173" i="1"/>
  <c r="B84" i="1"/>
  <c r="B163" i="1"/>
  <c r="B117" i="1"/>
  <c r="B78" i="1"/>
  <c r="B29" i="1"/>
  <c r="B67" i="1"/>
  <c r="B51" i="1"/>
  <c r="B35" i="1"/>
  <c r="B19" i="1"/>
  <c r="B161" i="1"/>
  <c r="B145" i="1"/>
  <c r="B129" i="1"/>
  <c r="B113" i="1"/>
  <c r="B97" i="1"/>
  <c r="B81" i="1"/>
  <c r="B65" i="1"/>
  <c r="B49" i="1"/>
  <c r="B33" i="1"/>
  <c r="B17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72" i="1"/>
  <c r="B156" i="1"/>
  <c r="B140" i="1"/>
  <c r="B124" i="1"/>
  <c r="B108" i="1"/>
  <c r="B92" i="1"/>
  <c r="B76" i="1"/>
  <c r="B60" i="1"/>
  <c r="B44" i="1"/>
  <c r="B28" i="1"/>
  <c r="B12" i="1"/>
  <c r="B171" i="1"/>
  <c r="B155" i="1"/>
  <c r="B139" i="1"/>
  <c r="B123" i="1"/>
  <c r="B107" i="1"/>
  <c r="B91" i="1"/>
  <c r="B75" i="1"/>
  <c r="B59" i="1"/>
  <c r="B43" i="1"/>
  <c r="B27" i="1"/>
  <c r="B11" i="1"/>
  <c r="B170" i="1"/>
  <c r="B154" i="1"/>
  <c r="B138" i="1"/>
  <c r="B122" i="1"/>
  <c r="B106" i="1"/>
  <c r="B90" i="1"/>
  <c r="B74" i="1"/>
  <c r="B58" i="1"/>
  <c r="B42" i="1"/>
  <c r="B26" i="1"/>
  <c r="B10" i="1"/>
  <c r="B169" i="1"/>
  <c r="B153" i="1"/>
  <c r="B137" i="1"/>
  <c r="B121" i="1"/>
  <c r="B105" i="1"/>
  <c r="B89" i="1"/>
  <c r="B73" i="1"/>
  <c r="B57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67" i="1"/>
  <c r="B151" i="1"/>
  <c r="B135" i="1"/>
  <c r="B119" i="1"/>
  <c r="B103" i="1"/>
  <c r="B87" i="1"/>
  <c r="B71" i="1"/>
  <c r="B55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</calcChain>
</file>

<file path=xl/sharedStrings.xml><?xml version="1.0" encoding="utf-8"?>
<sst xmlns="http://schemas.openxmlformats.org/spreadsheetml/2006/main" count="22628" uniqueCount="2763">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</sst>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tabSelected="1" workbookViewId="0">
      <selection activeCell="B108" sqref="B108"/>
    </sheetView>
  </sheetViews>
  <sheetFormatPr defaultColWidth="11.453125" defaultRowHeight="14.5" x14ac:dyDescent="0.35"/>
  <cols>
    <col min="1" max="1" width="11.54296875" bestFit="1" customWidth="1"/>
    <col min="2" max="2" width="36.36328125" customWidth="1"/>
    <col min="3" max="4" width="20.81640625" customWidth="1"/>
  </cols>
  <sheetData>
    <row r="1" spans="1:12" ht="72.5" x14ac:dyDescent="0.35">
      <c r="A1" s="22" t="s">
        <v>2754</v>
      </c>
      <c r="B1" s="23" t="s">
        <v>2755</v>
      </c>
      <c r="C1" s="24">
        <f>MATCH(B1, H3:L3,0)</f>
        <v>1</v>
      </c>
    </row>
    <row r="2" spans="1:12" ht="15" thickBot="1" x14ac:dyDescent="0.4"/>
    <row r="3" spans="1:12" ht="15" thickBot="1" x14ac:dyDescent="0.4">
      <c r="A3" s="25" t="s">
        <v>2737</v>
      </c>
      <c r="B3" s="26" t="s">
        <v>20</v>
      </c>
      <c r="C3" s="35" t="str">
        <f>VLOOKUP(A3,[1]Sheet2!A:F,1+'[1]Balance 2021.12 '!C$1,FALSE)</f>
        <v>Amount in Group Crcy</v>
      </c>
      <c r="D3" s="36"/>
      <c r="E3" s="27"/>
      <c r="F3" s="27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2" t="s">
        <v>1</v>
      </c>
      <c r="B4" s="2" t="s">
        <v>1</v>
      </c>
      <c r="C4" s="5" t="s">
        <v>47</v>
      </c>
      <c r="D4" s="5" t="s">
        <v>48</v>
      </c>
    </row>
    <row r="5" spans="1:12" ht="15" thickBot="1" x14ac:dyDescent="0.4">
      <c r="A5" s="28">
        <v>111100</v>
      </c>
      <c r="B5" s="7" t="str">
        <f>VLOOKUP(A5,Sheet2!A:F,1+'Balance 2022.02'!C$1,FALSE)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8">
        <v>111200</v>
      </c>
      <c r="B6" s="7" t="str">
        <f>VLOOKUP(A6,Sheet2!A:F,1+'Balance 2022.02'!C$1,FALSE)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28">
        <v>121100</v>
      </c>
      <c r="B7" s="7" t="str">
        <f>VLOOKUP(A7,Sheet2!A:F,1+'Balance 2022.02'!C$1,FALSE)</f>
        <v>Trade receivables, Gross</v>
      </c>
      <c r="C7" s="8">
        <v>34193806.590000004</v>
      </c>
      <c r="D7" s="9">
        <v>48555232.060000002</v>
      </c>
    </row>
    <row r="8" spans="1:12" ht="15" thickBot="1" x14ac:dyDescent="0.4">
      <c r="A8" s="28">
        <v>121190</v>
      </c>
      <c r="B8" s="7" t="str">
        <f>VLOOKUP(A8,Sheet2!A:F,1+'Balance 2022.02'!C$1,FALSE)</f>
        <v>Trade receivables, Allowance</v>
      </c>
      <c r="C8" s="8">
        <v>-873012.25</v>
      </c>
      <c r="D8" s="9">
        <v>-1239678.04</v>
      </c>
    </row>
    <row r="9" spans="1:12" ht="15" thickBot="1" x14ac:dyDescent="0.4">
      <c r="A9" s="28">
        <v>121200</v>
      </c>
      <c r="B9" s="7" t="str">
        <f>VLOOKUP(A9,Sheet2!A:F,1+'Balance 2022.02'!C$1,FALSE)</f>
        <v>Receivables on disposal of PPE, Current, Gross</v>
      </c>
      <c r="C9" s="8">
        <v>7504.22</v>
      </c>
      <c r="D9" s="9">
        <v>10656</v>
      </c>
    </row>
    <row r="10" spans="1:12" ht="15" thickBot="1" x14ac:dyDescent="0.4">
      <c r="A10" s="28">
        <v>121300</v>
      </c>
      <c r="B10" s="7" t="str">
        <f>VLOOKUP(A10,Sheet2!A:F,1+'Balance 2022.02'!C$1,FALSE)</f>
        <v>Receivables / disp. Intang.assets, Current, Gross</v>
      </c>
      <c r="C10" s="8">
        <v>4352.1099999999997</v>
      </c>
      <c r="D10" s="9">
        <v>6180</v>
      </c>
    </row>
    <row r="11" spans="1:12" ht="15" thickBot="1" x14ac:dyDescent="0.4">
      <c r="A11" s="28">
        <v>121400</v>
      </c>
      <c r="B11" s="7" t="str">
        <f>VLOOKUP(A11,Sheet2!A:F,1+'Balance 2022.02'!C$1,FALSE)</f>
        <v>Receivables / disp. invest. subsid, Current, Gross</v>
      </c>
      <c r="C11" s="8">
        <v>990.42</v>
      </c>
      <c r="D11" s="9">
        <v>1406.4</v>
      </c>
    </row>
    <row r="12" spans="1:12" ht="15" thickBot="1" x14ac:dyDescent="0.4">
      <c r="A12" s="28">
        <v>121500</v>
      </c>
      <c r="B12" s="7" t="str">
        <f>VLOOKUP(A12,Sheet2!A:F,1+'Balance 2022.02'!C$1,FALSE)</f>
        <v>Receivables / disp. Inv. oth entities, Current, GV</v>
      </c>
      <c r="C12" s="8">
        <v>1995.21</v>
      </c>
      <c r="D12" s="9">
        <v>2833.2</v>
      </c>
    </row>
    <row r="13" spans="1:12" ht="15" thickBot="1" x14ac:dyDescent="0.4">
      <c r="A13" s="28">
        <v>121600</v>
      </c>
      <c r="B13" s="7" t="str">
        <f>VLOOKUP(A13,Sheet2!A:F,1+'Balance 2022.02'!C$1,FALSE)</f>
        <v>Receivables /disp. Inv. oth assets, Current, Gross</v>
      </c>
      <c r="C13" s="8">
        <v>2761.69</v>
      </c>
      <c r="D13" s="9">
        <v>3921.6</v>
      </c>
    </row>
    <row r="14" spans="1:12" ht="15" thickBot="1" x14ac:dyDescent="0.4">
      <c r="A14" s="28">
        <v>121700</v>
      </c>
      <c r="B14" s="7" t="str">
        <f>VLOOKUP(A14,Sheet2!A:F,1+'Balance 2022.02'!C$1,FALSE)</f>
        <v>Dividends receivable</v>
      </c>
      <c r="C14" s="8">
        <v>1800</v>
      </c>
      <c r="D14" s="9">
        <v>2556</v>
      </c>
    </row>
    <row r="15" spans="1:12" ht="15" thickBot="1" x14ac:dyDescent="0.4">
      <c r="A15" s="28">
        <v>121800</v>
      </c>
      <c r="B15" s="7" t="str">
        <f>VLOOKUP(A15,Sheet2!A:F,1+'Balance 2022.02'!C$1,FALSE)</f>
        <v>Other receivables, Current, Gross</v>
      </c>
      <c r="C15" s="8">
        <v>1084412.1499999999</v>
      </c>
      <c r="D15" s="9">
        <v>1539866.15</v>
      </c>
    </row>
    <row r="16" spans="1:12" ht="15" thickBot="1" x14ac:dyDescent="0.4">
      <c r="A16" s="28">
        <v>121900</v>
      </c>
      <c r="B16" s="7" t="str">
        <f>VLOOKUP(A16,Sheet2!A:F,1+'Balance 2022.02'!C$1,FALSE)</f>
        <v>Accrued interests on receivables</v>
      </c>
      <c r="C16" s="8">
        <v>49681.69</v>
      </c>
      <c r="D16" s="9">
        <v>70548</v>
      </c>
    </row>
    <row r="17" spans="1:4" ht="15" thickBot="1" x14ac:dyDescent="0.4">
      <c r="A17" s="28">
        <v>121990</v>
      </c>
      <c r="B17" s="7" t="str">
        <f>VLOOKUP(A17,Sheet2!A:F,1+'Balance 2022.02'!C$1,FALSE)</f>
        <v>Other receivables, Allow</v>
      </c>
      <c r="C17" s="8">
        <v>-19963.38</v>
      </c>
      <c r="D17" s="9">
        <v>-28348</v>
      </c>
    </row>
    <row r="18" spans="1:4" ht="15" thickBot="1" x14ac:dyDescent="0.4">
      <c r="A18" s="28">
        <v>122100</v>
      </c>
      <c r="B18" s="7" t="str">
        <f>VLOOKUP(A18,Sheet2!A:F,1+'Balance 2022.02'!C$1,FALSE)</f>
        <v>Income tax receivables</v>
      </c>
      <c r="C18" s="8">
        <v>0</v>
      </c>
      <c r="D18" s="9">
        <v>0</v>
      </c>
    </row>
    <row r="19" spans="1:4" ht="15" thickBot="1" x14ac:dyDescent="0.4">
      <c r="A19" s="28">
        <v>123100</v>
      </c>
      <c r="B19" s="7" t="str">
        <f>VLOOKUP(A19,Sheet2!A:F,1+'Balance 2022.02'!C$1,FALSE)</f>
        <v>Prepaid expenses</v>
      </c>
      <c r="C19" s="8">
        <v>63429.05</v>
      </c>
      <c r="D19" s="9">
        <v>90069.31</v>
      </c>
    </row>
    <row r="20" spans="1:4" ht="15" thickBot="1" x14ac:dyDescent="0.4">
      <c r="A20" s="28">
        <v>131100</v>
      </c>
      <c r="B20" s="7" t="str">
        <f>VLOOKUP(A20,Sheet2!A:F,1+'Balance 2022.02'!C$1,FALSE)</f>
        <v>Raw materials</v>
      </c>
      <c r="C20" s="8">
        <v>2989078.27</v>
      </c>
      <c r="D20" s="9">
        <v>4244493.75</v>
      </c>
    </row>
    <row r="21" spans="1:4" ht="15" thickBot="1" x14ac:dyDescent="0.4">
      <c r="A21" s="28">
        <v>131200</v>
      </c>
      <c r="B21" s="7" t="str">
        <f>VLOOKUP(A21,Sheet2!A:F,1+'Balance 2022.02'!C$1,FALSE)</f>
        <v>Merchandise</v>
      </c>
      <c r="C21" s="8">
        <v>3644655.3</v>
      </c>
      <c r="D21" s="9">
        <v>5175413.7699999996</v>
      </c>
    </row>
    <row r="22" spans="1:4" ht="15" thickBot="1" x14ac:dyDescent="0.4">
      <c r="A22" s="28">
        <v>131300</v>
      </c>
      <c r="B22" s="7" t="str">
        <f>VLOOKUP(A22,Sheet2!A:F,1+'Balance 2022.02'!C$1,FALSE)</f>
        <v>Production supplies</v>
      </c>
      <c r="C22" s="8">
        <v>2912.11</v>
      </c>
      <c r="D22" s="9">
        <v>4135.2</v>
      </c>
    </row>
    <row r="23" spans="1:4" ht="15" thickBot="1" x14ac:dyDescent="0.4">
      <c r="A23" s="28">
        <v>131400</v>
      </c>
      <c r="B23" s="7" t="str">
        <f>VLOOKUP(A23,Sheet2!A:F,1+'Balance 2022.02'!C$1,FALSE)</f>
        <v>Work in progress</v>
      </c>
      <c r="C23" s="8">
        <v>901848.7</v>
      </c>
      <c r="D23" s="9">
        <v>1280625.95</v>
      </c>
    </row>
    <row r="24" spans="1:4" ht="15" thickBot="1" x14ac:dyDescent="0.4">
      <c r="A24" s="28">
        <v>131500</v>
      </c>
      <c r="B24" s="7" t="str">
        <f>VLOOKUP(A24,Sheet2!A:F,1+'Balance 2022.02'!C$1,FALSE)</f>
        <v>Finished goods</v>
      </c>
      <c r="C24" s="8">
        <v>920917.06</v>
      </c>
      <c r="D24" s="9">
        <v>1307703.05</v>
      </c>
    </row>
    <row r="25" spans="1:4" ht="15" thickBot="1" x14ac:dyDescent="0.4">
      <c r="A25" s="28">
        <v>131600</v>
      </c>
      <c r="B25" s="7" t="str">
        <f>VLOOKUP(A25,Sheet2!A:F,1+'Balance 2022.02'!C$1,FALSE)</f>
        <v>Other inventories</v>
      </c>
      <c r="C25" s="8">
        <v>1966.48</v>
      </c>
      <c r="D25" s="9">
        <v>2792.4</v>
      </c>
    </row>
    <row r="26" spans="1:4" ht="15" thickBot="1" x14ac:dyDescent="0.4">
      <c r="A26" s="28">
        <v>141100</v>
      </c>
      <c r="B26" s="7" t="str">
        <f>VLOOKUP(A26,Sheet2!A:F,1+'Balance 2022.02'!C$1,FALSE)</f>
        <v>Other financial assets at FVTOCI, Current</v>
      </c>
      <c r="C26" s="8">
        <v>18100</v>
      </c>
      <c r="D26" s="9">
        <v>25702</v>
      </c>
    </row>
    <row r="27" spans="1:4" ht="15" thickBot="1" x14ac:dyDescent="0.4">
      <c r="A27" s="28">
        <v>141200</v>
      </c>
      <c r="B27" s="7" t="str">
        <f>VLOOKUP(A27,Sheet2!A:F,1+'Balance 2022.02'!C$1,FALSE)</f>
        <v>Derivatives, Current</v>
      </c>
      <c r="C27" s="8">
        <v>4908</v>
      </c>
      <c r="D27" s="9">
        <v>6969.36</v>
      </c>
    </row>
    <row r="28" spans="1:4" ht="15" thickBot="1" x14ac:dyDescent="0.4">
      <c r="A28" s="28">
        <v>141300</v>
      </c>
      <c r="B28" s="7" t="str">
        <f>VLOOKUP(A28,Sheet2!A:F,1+'Balance 2022.02'!C$1,FALSE)</f>
        <v>Financial assets at FVPL, Current</v>
      </c>
      <c r="C28" s="8">
        <v>5840</v>
      </c>
      <c r="D28" s="9">
        <v>8292.7999999999993</v>
      </c>
    </row>
    <row r="29" spans="1:4" ht="15" thickBot="1" x14ac:dyDescent="0.4">
      <c r="A29" s="28">
        <v>141400</v>
      </c>
      <c r="B29" s="7" t="str">
        <f>VLOOKUP(A29,Sheet2!A:F,1+'Balance 2022.02'!C$1,FALSE)</f>
        <v>Loans and cash advances, Current, Gross</v>
      </c>
      <c r="C29" s="8">
        <v>39576.82</v>
      </c>
      <c r="D29" s="9">
        <v>56199.08</v>
      </c>
    </row>
    <row r="30" spans="1:4" ht="15" thickBot="1" x14ac:dyDescent="0.4">
      <c r="A30" s="28">
        <v>141490</v>
      </c>
      <c r="B30" s="7" t="str">
        <f>VLOOKUP(A30,Sheet2!A:F,1+'Balance 2022.02'!C$1,FALSE)</f>
        <v>Loans and cash advances, Current, Allowance</v>
      </c>
      <c r="C30" s="8">
        <v>-9456.34</v>
      </c>
      <c r="D30" s="9">
        <v>-13428</v>
      </c>
    </row>
    <row r="31" spans="1:4" ht="15" thickBot="1" x14ac:dyDescent="0.4">
      <c r="A31" s="28">
        <v>151100</v>
      </c>
      <c r="B31" s="7" t="str">
        <f>VLOOKUP(A31,Sheet2!A:F,1+'Balance 2022.02'!C$1,FALSE)</f>
        <v>NC assets or disp. groups classified HFS</v>
      </c>
      <c r="C31" s="8">
        <v>2000</v>
      </c>
      <c r="D31" s="9">
        <v>2840</v>
      </c>
    </row>
    <row r="32" spans="1:4" ht="15" thickBot="1" x14ac:dyDescent="0.4">
      <c r="A32" s="28">
        <v>161100</v>
      </c>
      <c r="B32" s="7" t="str">
        <f>VLOOKUP(A32,Sheet2!A:F,1+'Balance 2022.02'!C$1,FALSE)</f>
        <v>Lands and buildings</v>
      </c>
      <c r="C32" s="8">
        <v>21178852.699999999</v>
      </c>
      <c r="D32" s="9">
        <v>30073986.530000001</v>
      </c>
    </row>
    <row r="33" spans="1:4" ht="15" thickBot="1" x14ac:dyDescent="0.4">
      <c r="A33" s="28">
        <v>161190</v>
      </c>
      <c r="B33" s="7" t="str">
        <f>VLOOKUP(A33,Sheet2!A:F,1+'Balance 2022.02'!C$1,FALSE)</f>
        <v>Lands and buildings, Depreciation</v>
      </c>
      <c r="C33" s="8">
        <v>-6727684.9199999999</v>
      </c>
      <c r="D33" s="9">
        <v>-9553370.6199999992</v>
      </c>
    </row>
    <row r="34" spans="1:4" ht="15" thickBot="1" x14ac:dyDescent="0.4">
      <c r="A34" s="28">
        <v>161200</v>
      </c>
      <c r="B34" s="7" t="str">
        <f>VLOOKUP(A34,Sheet2!A:F,1+'Balance 2022.02'!C$1,FALSE)</f>
        <v>Tangibles assets under construction</v>
      </c>
      <c r="C34" s="8">
        <v>1106367.77</v>
      </c>
      <c r="D34" s="9">
        <v>1571043.05</v>
      </c>
    </row>
    <row r="35" spans="1:4" ht="15" thickBot="1" x14ac:dyDescent="0.4">
      <c r="A35" s="28">
        <v>161300</v>
      </c>
      <c r="B35" s="7" t="str">
        <f>VLOOKUP(A35,Sheet2!A:F,1+'Balance 2022.02'!C$1,FALSE)</f>
        <v>Office equipment</v>
      </c>
      <c r="C35" s="8">
        <v>272058.67</v>
      </c>
      <c r="D35" s="9">
        <v>386323.41</v>
      </c>
    </row>
    <row r="36" spans="1:4" ht="15" thickBot="1" x14ac:dyDescent="0.4">
      <c r="A36" s="28">
        <v>161390</v>
      </c>
      <c r="B36" s="7" t="str">
        <f>VLOOKUP(A36,Sheet2!A:F,1+'Balance 2022.02'!C$1,FALSE)</f>
        <v>Office equipment, Depreciation</v>
      </c>
      <c r="C36" s="8">
        <v>-77279.33</v>
      </c>
      <c r="D36" s="9">
        <v>-109736.69</v>
      </c>
    </row>
    <row r="37" spans="1:4" ht="15" thickBot="1" x14ac:dyDescent="0.4">
      <c r="A37" s="28">
        <v>161400</v>
      </c>
      <c r="B37" s="7" t="str">
        <f>VLOOKUP(A37,Sheet2!A:F,1+'Balance 2022.02'!C$1,FALSE)</f>
        <v>Vehicles</v>
      </c>
      <c r="C37" s="8">
        <v>80904.22</v>
      </c>
      <c r="D37" s="9">
        <v>114884</v>
      </c>
    </row>
    <row r="38" spans="1:4" ht="15" thickBot="1" x14ac:dyDescent="0.4">
      <c r="A38" s="28">
        <v>161490</v>
      </c>
      <c r="B38" s="7" t="str">
        <f>VLOOKUP(A38,Sheet2!A:F,1+'Balance 2022.02'!C$1,FALSE)</f>
        <v>Vehicles, Depreciation</v>
      </c>
      <c r="C38" s="8">
        <v>-53585.919999999998</v>
      </c>
      <c r="D38" s="9">
        <v>-76092</v>
      </c>
    </row>
    <row r="39" spans="1:4" ht="15" thickBot="1" x14ac:dyDescent="0.4">
      <c r="A39" s="28">
        <v>161500</v>
      </c>
      <c r="B39" s="7" t="str">
        <f>VLOOKUP(A39,Sheet2!A:F,1+'Balance 2022.02'!C$1,FALSE)</f>
        <v>Machinery</v>
      </c>
      <c r="C39" s="8">
        <v>47386.76</v>
      </c>
      <c r="D39" s="9">
        <v>67289.2</v>
      </c>
    </row>
    <row r="40" spans="1:4" ht="15" thickBot="1" x14ac:dyDescent="0.4">
      <c r="A40" s="28">
        <v>161590</v>
      </c>
      <c r="B40" s="7" t="str">
        <f>VLOOKUP(A40,Sheet2!A:F,1+'Balance 2022.02'!C$1,FALSE)</f>
        <v>Machinery, Depreciation</v>
      </c>
      <c r="C40" s="8">
        <v>-20677.72</v>
      </c>
      <c r="D40" s="9">
        <v>-29362.36</v>
      </c>
    </row>
    <row r="41" spans="1:4" ht="15" thickBot="1" x14ac:dyDescent="0.4">
      <c r="A41" s="28">
        <v>161600</v>
      </c>
      <c r="B41" s="7" t="str">
        <f>VLOOKUP(A41,Sheet2!A:F,1+'Balance 2022.02'!C$1,FALSE)</f>
        <v>Other property, plant and equipment</v>
      </c>
      <c r="C41" s="8">
        <v>796069.86</v>
      </c>
      <c r="D41" s="9">
        <v>1130419.2</v>
      </c>
    </row>
    <row r="42" spans="1:4" ht="15" thickBot="1" x14ac:dyDescent="0.4">
      <c r="A42" s="28">
        <v>161690</v>
      </c>
      <c r="B42" s="7" t="str">
        <f>VLOOKUP(A42,Sheet2!A:F,1+'Balance 2022.02'!C$1,FALSE)</f>
        <v>Other property, plant and equipment, Depreciation</v>
      </c>
      <c r="C42" s="8">
        <v>-389023.24</v>
      </c>
      <c r="D42" s="9">
        <v>-552413</v>
      </c>
    </row>
    <row r="43" spans="1:4" ht="15" thickBot="1" x14ac:dyDescent="0.4">
      <c r="A43" s="28">
        <v>162100</v>
      </c>
      <c r="B43" s="7" t="str">
        <f>VLOOKUP(A43,Sheet2!A:F,1+'Balance 2022.02'!C$1,FALSE)</f>
        <v>Investment property</v>
      </c>
      <c r="C43" s="8">
        <v>106646.48</v>
      </c>
      <c r="D43" s="9">
        <v>151438</v>
      </c>
    </row>
    <row r="44" spans="1:4" ht="15" thickBot="1" x14ac:dyDescent="0.4">
      <c r="A44" s="28">
        <v>162190</v>
      </c>
      <c r="B44" s="7" t="str">
        <f>VLOOKUP(A44,Sheet2!A:F,1+'Balance 2022.02'!C$1,FALSE)</f>
        <v>Investment property, Depreciation</v>
      </c>
      <c r="C44" s="8">
        <v>-17310.349999999999</v>
      </c>
      <c r="D44" s="9">
        <v>-24580.7</v>
      </c>
    </row>
    <row r="45" spans="1:4" ht="15" thickBot="1" x14ac:dyDescent="0.4">
      <c r="A45" s="28">
        <v>163100</v>
      </c>
      <c r="B45" s="7" t="str">
        <f>VLOOKUP(A45,Sheet2!A:F,1+'Balance 2022.02'!C$1,FALSE)</f>
        <v>Goodwill</v>
      </c>
      <c r="C45" s="8">
        <v>950833.1</v>
      </c>
      <c r="D45" s="9">
        <v>1350183</v>
      </c>
    </row>
    <row r="46" spans="1:4" ht="15" thickBot="1" x14ac:dyDescent="0.4">
      <c r="A46" s="28">
        <v>164100</v>
      </c>
      <c r="B46" s="7" t="str">
        <f>VLOOKUP(A46,Sheet2!A:F,1+'Balance 2022.02'!C$1,FALSE)</f>
        <v>Brand names</v>
      </c>
      <c r="C46" s="8">
        <v>470431.91</v>
      </c>
      <c r="D46" s="9">
        <v>668013.64</v>
      </c>
    </row>
    <row r="47" spans="1:4" ht="15" thickBot="1" x14ac:dyDescent="0.4">
      <c r="A47" s="28">
        <v>164190</v>
      </c>
      <c r="B47" s="7" t="str">
        <f>VLOOKUP(A47,Sheet2!A:F,1+'Balance 2022.02'!C$1,FALSE)</f>
        <v>Brand names, Amortization</v>
      </c>
      <c r="C47" s="8">
        <v>-12831.81</v>
      </c>
      <c r="D47" s="9">
        <v>-18221.18</v>
      </c>
    </row>
    <row r="48" spans="1:4" ht="15" thickBot="1" x14ac:dyDescent="0.4">
      <c r="A48" s="28">
        <v>164200</v>
      </c>
      <c r="B48" s="7" t="str">
        <f>VLOOKUP(A48,Sheet2!A:F,1+'Balance 2022.02'!C$1,FALSE)</f>
        <v>Computer software</v>
      </c>
      <c r="C48" s="8">
        <v>6347918.5499999998</v>
      </c>
      <c r="D48" s="9">
        <v>9014049.0199999996</v>
      </c>
    </row>
    <row r="49" spans="1:4" ht="15" thickBot="1" x14ac:dyDescent="0.4">
      <c r="A49" s="28">
        <v>164290</v>
      </c>
      <c r="B49" s="7" t="str">
        <f>VLOOKUP(A49,Sheet2!A:F,1+'Balance 2022.02'!C$1,FALSE)</f>
        <v>Computer software, Amortization</v>
      </c>
      <c r="C49" s="8">
        <v>-3015792.08</v>
      </c>
      <c r="D49" s="9">
        <v>-4282426.9800000004</v>
      </c>
    </row>
    <row r="50" spans="1:4" ht="15" thickBot="1" x14ac:dyDescent="0.4">
      <c r="A50" s="28">
        <v>164300</v>
      </c>
      <c r="B50" s="7" t="str">
        <f>VLOOKUP(A50,Sheet2!A:F,1+'Balance 2022.02'!C$1,FALSE)</f>
        <v>Patents, trademarks and other rights</v>
      </c>
      <c r="C50" s="8">
        <v>873135.22</v>
      </c>
      <c r="D50" s="9">
        <v>1239852</v>
      </c>
    </row>
    <row r="51" spans="1:4" ht="15" thickBot="1" x14ac:dyDescent="0.4">
      <c r="A51" s="28">
        <v>164390</v>
      </c>
      <c r="B51" s="7" t="str">
        <f>VLOOKUP(A51,Sheet2!A:F,1+'Balance 2022.02'!C$1,FALSE)</f>
        <v>Patents, trademarks and other rights, Amortization</v>
      </c>
      <c r="C51" s="8">
        <v>-593122.53</v>
      </c>
      <c r="D51" s="9">
        <v>-842234</v>
      </c>
    </row>
    <row r="52" spans="1:4" ht="15" thickBot="1" x14ac:dyDescent="0.4">
      <c r="A52" s="28">
        <v>164400</v>
      </c>
      <c r="B52" s="7" t="str">
        <f>VLOOKUP(A52,Sheet2!A:F,1+'Balance 2022.02'!C$1,FALSE)</f>
        <v>Intangible assets under development</v>
      </c>
      <c r="C52" s="8">
        <v>66351.98</v>
      </c>
      <c r="D52" s="9">
        <v>94219.8</v>
      </c>
    </row>
    <row r="53" spans="1:4" ht="15" thickBot="1" x14ac:dyDescent="0.4">
      <c r="A53" s="28">
        <v>164490</v>
      </c>
      <c r="B53" s="7" t="str">
        <f>VLOOKUP(A53,Sheet2!A:F,1+'Balance 2022.02'!C$1,FALSE)</f>
        <v>Intangible assets under development, Impairment</v>
      </c>
      <c r="C53" s="8">
        <v>-21814.080000000002</v>
      </c>
      <c r="D53" s="9">
        <v>-30976</v>
      </c>
    </row>
    <row r="54" spans="1:4" ht="15" thickBot="1" x14ac:dyDescent="0.4">
      <c r="A54" s="28">
        <v>164500</v>
      </c>
      <c r="B54" s="7" t="str">
        <f>VLOOKUP(A54,Sheet2!A:F,1+'Balance 2022.02'!C$1,FALSE)</f>
        <v>Other intangible assets</v>
      </c>
      <c r="C54" s="8">
        <v>21907.18</v>
      </c>
      <c r="D54" s="9">
        <v>31108.2</v>
      </c>
    </row>
    <row r="55" spans="1:4" ht="15" thickBot="1" x14ac:dyDescent="0.4">
      <c r="A55" s="28">
        <v>164590</v>
      </c>
      <c r="B55" s="7" t="str">
        <f>VLOOKUP(A55,Sheet2!A:F,1+'Balance 2022.02'!C$1,FALSE)</f>
        <v>Other intangible assets, Amortization</v>
      </c>
      <c r="C55" s="8">
        <v>-11400.14</v>
      </c>
      <c r="D55" s="9">
        <v>-16188.2</v>
      </c>
    </row>
    <row r="56" spans="1:4" ht="15" thickBot="1" x14ac:dyDescent="0.4">
      <c r="A56" s="28">
        <v>171000</v>
      </c>
      <c r="B56" s="7" t="str">
        <f>VLOOKUP(A56,Sheet2!A:F,1+'Balance 2022.02'!C$1,FALSE)</f>
        <v>Investments accounted for using equity method</v>
      </c>
      <c r="C56" s="8">
        <v>87088.04</v>
      </c>
      <c r="D56" s="9">
        <v>123665.02</v>
      </c>
    </row>
    <row r="57" spans="1:4" ht="15" thickBot="1" x14ac:dyDescent="0.4">
      <c r="A57" s="28">
        <v>172100</v>
      </c>
      <c r="B57" s="7" t="str">
        <f>VLOOKUP(A57,Sheet2!A:F,1+'Balance 2022.02'!C$1,FALSE)</f>
        <v>Investments in subs, JV and associates, GV</v>
      </c>
      <c r="C57" s="8">
        <v>0</v>
      </c>
      <c r="D57" s="9">
        <v>0</v>
      </c>
    </row>
    <row r="58" spans="1:4" ht="15" thickBot="1" x14ac:dyDescent="0.4">
      <c r="A58" s="28">
        <v>172190</v>
      </c>
      <c r="B58" s="7" t="str">
        <f>VLOOKUP(A58,Sheet2!A:F,1+'Balance 2022.02'!C$1,FALSE)</f>
        <v>Investments in subs, JV and associates, Impair</v>
      </c>
      <c r="C58" s="8">
        <v>0</v>
      </c>
      <c r="D58" s="9">
        <v>-0.2</v>
      </c>
    </row>
    <row r="59" spans="1:4" ht="15" thickBot="1" x14ac:dyDescent="0.4">
      <c r="A59" s="28">
        <v>172200</v>
      </c>
      <c r="B59" s="7" t="str">
        <f>VLOOKUP(A59,Sheet2!A:F,1+'Balance 2022.02'!C$1,FALSE)</f>
        <v>Other financial assets at FVTOCI, Non-current</v>
      </c>
      <c r="C59" s="8">
        <v>6599.44</v>
      </c>
      <c r="D59" s="9">
        <v>9371.2000000000007</v>
      </c>
    </row>
    <row r="60" spans="1:4" ht="15" thickBot="1" x14ac:dyDescent="0.4">
      <c r="A60" s="28">
        <v>172400</v>
      </c>
      <c r="B60" s="7" t="str">
        <f>VLOOKUP(A60,Sheet2!A:F,1+'Balance 2022.02'!C$1,FALSE)</f>
        <v>Financial assets at FVPL, Non-current</v>
      </c>
      <c r="C60" s="8">
        <v>1800</v>
      </c>
      <c r="D60" s="9">
        <v>2556</v>
      </c>
    </row>
    <row r="61" spans="1:4" ht="15" thickBot="1" x14ac:dyDescent="0.4">
      <c r="A61" s="28">
        <v>181100</v>
      </c>
      <c r="B61" s="7" t="str">
        <f>VLOOKUP(A61,Sheet2!A:F,1+'Balance 2022.02'!C$1,FALSE)</f>
        <v>Loans and cash advances, Non-current, Gross</v>
      </c>
      <c r="C61" s="8">
        <v>254041.12</v>
      </c>
      <c r="D61" s="9">
        <v>360738.51</v>
      </c>
    </row>
    <row r="62" spans="1:4" ht="15" thickBot="1" x14ac:dyDescent="0.4">
      <c r="A62" s="28">
        <v>181190</v>
      </c>
      <c r="B62" s="7" t="str">
        <f>VLOOKUP(A62,Sheet2!A:F,1+'Balance 2022.02'!C$1,FALSE)</f>
        <v>Loans and cash advances, Non-current, Allowance</v>
      </c>
      <c r="C62" s="8">
        <v>-9981.69</v>
      </c>
      <c r="D62" s="9">
        <v>-14174</v>
      </c>
    </row>
    <row r="63" spans="1:4" ht="15" thickBot="1" x14ac:dyDescent="0.4">
      <c r="A63" s="28">
        <v>181200</v>
      </c>
      <c r="B63" s="7" t="str">
        <f>VLOOKUP(A63,Sheet2!A:F,1+'Balance 2022.02'!C$1,FALSE)</f>
        <v>Receivables on disposal of PPE, N-Current, Gross</v>
      </c>
      <c r="C63" s="8">
        <v>5104.22</v>
      </c>
      <c r="D63" s="9">
        <v>7248</v>
      </c>
    </row>
    <row r="64" spans="1:4" ht="15" thickBot="1" x14ac:dyDescent="0.4">
      <c r="A64" s="28">
        <v>181300</v>
      </c>
      <c r="B64" s="7" t="str">
        <f>VLOOKUP(A64,Sheet2!A:F,1+'Balance 2022.02'!C$1,FALSE)</f>
        <v>Receiv./ disp. Intang.assets, N-Current, Gross</v>
      </c>
      <c r="C64" s="8">
        <v>1590.43</v>
      </c>
      <c r="D64" s="9">
        <v>2258.42</v>
      </c>
    </row>
    <row r="65" spans="1:4" ht="15" thickBot="1" x14ac:dyDescent="0.4">
      <c r="A65" s="28">
        <v>181400</v>
      </c>
      <c r="B65" s="7" t="str">
        <f>VLOOKUP(A65,Sheet2!A:F,1+'Balance 2022.02'!C$1,FALSE)</f>
        <v>Receiv./ disp. invest. subsid, N-Current, Gross</v>
      </c>
      <c r="C65" s="8">
        <v>21312.68</v>
      </c>
      <c r="D65" s="9">
        <v>30264</v>
      </c>
    </row>
    <row r="66" spans="1:4" ht="15" thickBot="1" x14ac:dyDescent="0.4">
      <c r="A66" s="28">
        <v>181500</v>
      </c>
      <c r="B66" s="7" t="str">
        <f>VLOOKUP(A66,Sheet2!A:F,1+'Balance 2022.02'!C$1,FALSE)</f>
        <v>Receiv. / disp. Inv. oth entities, N-Current, GV</v>
      </c>
      <c r="C66" s="8">
        <v>4352.1099999999997</v>
      </c>
      <c r="D66" s="9">
        <v>6180</v>
      </c>
    </row>
    <row r="67" spans="1:4" ht="15" thickBot="1" x14ac:dyDescent="0.4">
      <c r="A67" s="28">
        <v>181600</v>
      </c>
      <c r="B67" s="7" t="str">
        <f>VLOOKUP(A67,Sheet2!A:F,1+'Balance 2022.02'!C$1,FALSE)</f>
        <v>Receiv. /disp. Inv. oth assets, N-Current, Gross</v>
      </c>
      <c r="C67" s="8">
        <v>5104.22</v>
      </c>
      <c r="D67" s="9">
        <v>7248</v>
      </c>
    </row>
    <row r="68" spans="1:4" ht="15" thickBot="1" x14ac:dyDescent="0.4">
      <c r="A68" s="28">
        <v>181800</v>
      </c>
      <c r="B68" s="7" t="str">
        <f>VLOOKUP(A68,Sheet2!A:F,1+'Balance 2022.02'!C$1,FALSE)</f>
        <v>Other receivables, Non-current, Gross</v>
      </c>
      <c r="C68" s="8">
        <v>198118.31</v>
      </c>
      <c r="D68" s="9">
        <v>281328</v>
      </c>
    </row>
    <row r="69" spans="1:4" ht="15" thickBot="1" x14ac:dyDescent="0.4">
      <c r="A69" s="28">
        <v>181890</v>
      </c>
      <c r="B69" s="7" t="str">
        <f>VLOOKUP(A69,Sheet2!A:F,1+'Balance 2022.02'!C$1,FALSE)</f>
        <v>Receivables, Non-current, Allowance</v>
      </c>
      <c r="C69" s="8">
        <v>-16811.27</v>
      </c>
      <c r="D69" s="9">
        <v>-23872</v>
      </c>
    </row>
    <row r="70" spans="1:4" ht="15" thickBot="1" x14ac:dyDescent="0.4">
      <c r="A70" s="28">
        <v>182100</v>
      </c>
      <c r="B70" s="7" t="str">
        <f>VLOOKUP(A70,Sheet2!A:F,1+'Balance 2022.02'!C$1,FALSE)</f>
        <v>Deferred tax assets</v>
      </c>
      <c r="C70" s="8">
        <v>700</v>
      </c>
      <c r="D70" s="9">
        <v>975.45</v>
      </c>
    </row>
    <row r="71" spans="1:4" ht="15" thickBot="1" x14ac:dyDescent="0.4">
      <c r="A71" s="28">
        <v>211100</v>
      </c>
      <c r="B71" s="7" t="str">
        <f>VLOOKUP(A71,Sheet2!A:F,1+'Balance 2022.02'!C$1,FALSE)</f>
        <v>Trade payables</v>
      </c>
      <c r="C71" s="8">
        <v>-27537863.920000002</v>
      </c>
      <c r="D71" s="9">
        <v>-39103790.460000001</v>
      </c>
    </row>
    <row r="72" spans="1:4" ht="15" thickBot="1" x14ac:dyDescent="0.4">
      <c r="A72" s="28">
        <v>211200</v>
      </c>
      <c r="B72" s="7" t="str">
        <f>VLOOKUP(A72,Sheet2!A:F,1+'Balance 2022.02'!C$1,FALSE)</f>
        <v>Debts on purchase of PPE, Current</v>
      </c>
      <c r="C72" s="8">
        <v>-2011.26</v>
      </c>
      <c r="D72" s="9">
        <v>-2856</v>
      </c>
    </row>
    <row r="73" spans="1:4" ht="15" thickBot="1" x14ac:dyDescent="0.4">
      <c r="A73" s="28">
        <v>211300</v>
      </c>
      <c r="B73" s="7" t="str">
        <f>VLOOKUP(A73,Sheet2!A:F,1+'Balance 2022.02'!C$1,FALSE)</f>
        <v>Debts on purchase of intangible assets, Current</v>
      </c>
      <c r="C73" s="8">
        <v>-4923.38</v>
      </c>
      <c r="D73" s="9">
        <v>-6991.2</v>
      </c>
    </row>
    <row r="74" spans="1:4" ht="15" thickBot="1" x14ac:dyDescent="0.4">
      <c r="A74" s="28">
        <v>211400</v>
      </c>
      <c r="B74" s="7" t="str">
        <f>VLOOKUP(A74,Sheet2!A:F,1+'Balance 2022.02'!C$1,FALSE)</f>
        <v>Debts on purchase of inv. in subs., Current</v>
      </c>
      <c r="C74" s="8">
        <v>-2822.54</v>
      </c>
      <c r="D74" s="9">
        <v>-4008</v>
      </c>
    </row>
    <row r="75" spans="1:4" ht="15" thickBot="1" x14ac:dyDescent="0.4">
      <c r="A75" s="28">
        <v>211500</v>
      </c>
      <c r="B75" s="7" t="str">
        <f>VLOOKUP(A75,Sheet2!A:F,1+'Balance 2022.02'!C$1,FALSE)</f>
        <v>Debts on purchase / inv. in oth. entities, Current</v>
      </c>
      <c r="C75" s="8">
        <v>-2552.11</v>
      </c>
      <c r="D75" s="9">
        <v>-3624</v>
      </c>
    </row>
    <row r="76" spans="1:4" ht="15" thickBot="1" x14ac:dyDescent="0.4">
      <c r="A76" s="28">
        <v>211600</v>
      </c>
      <c r="B76" s="7" t="str">
        <f>VLOOKUP(A76,Sheet2!A:F,1+'Balance 2022.02'!C$1,FALSE)</f>
        <v>Debts on purchase of inv / other assets, Current</v>
      </c>
      <c r="C76" s="8">
        <v>-1771.27</v>
      </c>
      <c r="D76" s="9">
        <v>-2515.1999999999998</v>
      </c>
    </row>
    <row r="77" spans="1:4" ht="15" thickBot="1" x14ac:dyDescent="0.4">
      <c r="A77" s="28">
        <v>211700</v>
      </c>
      <c r="B77" s="7" t="str">
        <f>VLOOKUP(A77,Sheet2!A:F,1+'Balance 2022.02'!C$1,FALSE)</f>
        <v>Dividends payable</v>
      </c>
      <c r="C77" s="8">
        <v>-3542.53</v>
      </c>
      <c r="D77" s="9">
        <v>-5030.3999999999996</v>
      </c>
    </row>
    <row r="78" spans="1:4" ht="15" thickBot="1" x14ac:dyDescent="0.4">
      <c r="A78" s="28">
        <v>211800</v>
      </c>
      <c r="B78" s="7" t="str">
        <f>VLOOKUP(A78,Sheet2!A:F,1+'Balance 2022.02'!C$1,FALSE)</f>
        <v>Other payables, Current</v>
      </c>
      <c r="C78" s="8">
        <v>-281780.81</v>
      </c>
      <c r="D78" s="9">
        <v>-400128.96</v>
      </c>
    </row>
    <row r="79" spans="1:4" ht="15" thickBot="1" x14ac:dyDescent="0.4">
      <c r="A79" s="28">
        <v>211900</v>
      </c>
      <c r="B79" s="7" t="str">
        <f>VLOOKUP(A79,Sheet2!A:F,1+'Balance 2022.02'!C$1,FALSE)</f>
        <v>Accrued interests on financial liab./ payables</v>
      </c>
      <c r="C79" s="8">
        <v>-11648.45</v>
      </c>
      <c r="D79" s="9">
        <v>-16540.8</v>
      </c>
    </row>
    <row r="80" spans="1:4" ht="15" thickBot="1" x14ac:dyDescent="0.4">
      <c r="A80" s="28">
        <v>213000</v>
      </c>
      <c r="B80" s="7" t="str">
        <f>VLOOKUP(A80,Sheet2!A:F,1+'Balance 2022.02'!C$1,FALSE)</f>
        <v>Current income tax liabilities</v>
      </c>
      <c r="C80" s="8">
        <v>-4288988.09</v>
      </c>
      <c r="D80" s="9">
        <v>-6090366.0800000001</v>
      </c>
    </row>
    <row r="81" spans="1:4" ht="15" thickBot="1" x14ac:dyDescent="0.4">
      <c r="A81" s="28">
        <v>214100</v>
      </c>
      <c r="B81" s="7" t="str">
        <f>VLOOKUP(A81,Sheet2!A:F,1+'Balance 2022.02'!C$1,FALSE)</f>
        <v>Deferred income</v>
      </c>
      <c r="C81" s="8">
        <v>-39586.589999999997</v>
      </c>
      <c r="D81" s="9">
        <v>-56212.99</v>
      </c>
    </row>
    <row r="82" spans="1:4" ht="15" thickBot="1" x14ac:dyDescent="0.4">
      <c r="A82" s="28">
        <v>221100</v>
      </c>
      <c r="B82" s="7" t="str">
        <f>VLOOKUP(A82,Sheet2!A:F,1+'Balance 2022.02'!C$1,FALSE)</f>
        <v>Borrowings, Current</v>
      </c>
      <c r="C82" s="8">
        <v>-496960.79</v>
      </c>
      <c r="D82" s="9">
        <v>-705684.69</v>
      </c>
    </row>
    <row r="83" spans="1:4" ht="15" thickBot="1" x14ac:dyDescent="0.4">
      <c r="A83" s="28">
        <v>221200</v>
      </c>
      <c r="B83" s="7" t="str">
        <f>VLOOKUP(A83,Sheet2!A:F,1+'Balance 2022.02'!C$1,FALSE)</f>
        <v>Finance leases, Current</v>
      </c>
      <c r="C83" s="8">
        <v>-48332.4</v>
      </c>
      <c r="D83" s="9">
        <v>-68632</v>
      </c>
    </row>
    <row r="84" spans="1:4" ht="15" thickBot="1" x14ac:dyDescent="0.4">
      <c r="A84" s="28">
        <v>221500</v>
      </c>
      <c r="B84" s="7" t="str">
        <f>VLOOKUP(A84,Sheet2!A:F,1+'Balance 2022.02'!C$1,FALSE)</f>
        <v>Bank overdrafts, classified as cash equivalents</v>
      </c>
      <c r="C84" s="8">
        <v>-1720475.56</v>
      </c>
      <c r="D84" s="9">
        <v>-2443076.89</v>
      </c>
    </row>
    <row r="85" spans="1:4" ht="15" thickBot="1" x14ac:dyDescent="0.4">
      <c r="A85" s="28">
        <v>221600</v>
      </c>
      <c r="B85" s="7" t="str">
        <f>VLOOKUP(A85,Sheet2!A:F,1+'Balance 2022.02'!C$1,FALSE)</f>
        <v>Other financial liabilities, Current</v>
      </c>
      <c r="C85" s="8">
        <v>0</v>
      </c>
      <c r="D85" s="9">
        <v>0</v>
      </c>
    </row>
    <row r="86" spans="1:4" ht="15" thickBot="1" x14ac:dyDescent="0.4">
      <c r="A86" s="28">
        <v>241100</v>
      </c>
      <c r="B86" s="7" t="str">
        <f>VLOOKUP(A86,Sheet2!A:F,1+'Balance 2022.02'!C$1,FALSE)</f>
        <v>Provisions for employee benefits, Current</v>
      </c>
      <c r="C86" s="8">
        <v>-40247.410000000003</v>
      </c>
      <c r="D86" s="9">
        <v>-57151.35</v>
      </c>
    </row>
    <row r="87" spans="1:4" ht="15" thickBot="1" x14ac:dyDescent="0.4">
      <c r="A87" s="28">
        <v>242100</v>
      </c>
      <c r="B87" s="7" t="str">
        <f>VLOOKUP(A87,Sheet2!A:F,1+'Balance 2022.02'!C$1,FALSE)</f>
        <v>Warranty provision, Current</v>
      </c>
      <c r="C87" s="8">
        <v>-12387.32</v>
      </c>
      <c r="D87" s="9">
        <v>-17590</v>
      </c>
    </row>
    <row r="88" spans="1:4" ht="15" thickBot="1" x14ac:dyDescent="0.4">
      <c r="A88" s="28">
        <v>242200</v>
      </c>
      <c r="B88" s="7" t="str">
        <f>VLOOKUP(A88,Sheet2!A:F,1+'Balance 2022.02'!C$1,FALSE)</f>
        <v>Restructuring provision, Current</v>
      </c>
      <c r="C88" s="8">
        <v>-9152.11</v>
      </c>
      <c r="D88" s="9">
        <v>-12996</v>
      </c>
    </row>
    <row r="89" spans="1:4" ht="15" thickBot="1" x14ac:dyDescent="0.4">
      <c r="A89" s="28">
        <v>242400</v>
      </c>
      <c r="B89" s="7" t="str">
        <f>VLOOKUP(A89,Sheet2!A:F,1+'Balance 2022.02'!C$1,FALSE)</f>
        <v>Onerous contracts provision, Current</v>
      </c>
      <c r="C89" s="8">
        <v>-175739.27</v>
      </c>
      <c r="D89" s="9">
        <v>-249549.9</v>
      </c>
    </row>
    <row r="90" spans="1:4" ht="15" thickBot="1" x14ac:dyDescent="0.4">
      <c r="A90" s="28">
        <v>242500</v>
      </c>
      <c r="B90" s="7" t="str">
        <f>VLOOKUP(A90,Sheet2!A:F,1+'Balance 2022.02'!C$1,FALSE)</f>
        <v>Prov - decommission/restor/rehab. costs, Current</v>
      </c>
      <c r="C90" s="8">
        <v>-15760.56</v>
      </c>
      <c r="D90" s="9">
        <v>-22380</v>
      </c>
    </row>
    <row r="91" spans="1:4" ht="15" thickBot="1" x14ac:dyDescent="0.4">
      <c r="A91" s="28">
        <v>242600</v>
      </c>
      <c r="B91" s="7" t="str">
        <f>VLOOKUP(A91,Sheet2!A:F,1+'Balance 2022.02'!C$1,FALSE)</f>
        <v>Miscellaneous provisions, Current</v>
      </c>
      <c r="C91" s="8">
        <v>-1368725.21</v>
      </c>
      <c r="D91" s="9">
        <v>-1943590.81</v>
      </c>
    </row>
    <row r="92" spans="1:4" ht="15" thickBot="1" x14ac:dyDescent="0.4">
      <c r="A92" s="28">
        <v>251000</v>
      </c>
      <c r="B92" s="7" t="str">
        <f>VLOOKUP(A92,Sheet2!A:F,1+'Balance 2022.02'!C$1,FALSE)</f>
        <v>Liabilities included in disposal groups  HFS</v>
      </c>
      <c r="C92" s="8">
        <v>-1000</v>
      </c>
      <c r="D92" s="9">
        <v>-1420</v>
      </c>
    </row>
    <row r="93" spans="1:4" ht="15" thickBot="1" x14ac:dyDescent="0.4">
      <c r="A93" s="28">
        <v>261100</v>
      </c>
      <c r="B93" s="7" t="str">
        <f>VLOOKUP(A93,Sheet2!A:F,1+'Balance 2022.02'!C$1,FALSE)</f>
        <v>Provisions for employee benefits, Non-current</v>
      </c>
      <c r="C93" s="8">
        <v>-6176603.6699999999</v>
      </c>
      <c r="D93" s="9">
        <v>-8770781.7599999998</v>
      </c>
    </row>
    <row r="94" spans="1:4" ht="15" thickBot="1" x14ac:dyDescent="0.4">
      <c r="A94" s="28">
        <v>262100</v>
      </c>
      <c r="B94" s="7" t="str">
        <f>VLOOKUP(A94,Sheet2!A:F,1+'Balance 2022.02'!C$1,FALSE)</f>
        <v>Warranty provision, Non-current</v>
      </c>
      <c r="C94" s="8">
        <v>-79668.009999999995</v>
      </c>
      <c r="D94" s="9">
        <v>-113128.65</v>
      </c>
    </row>
    <row r="95" spans="1:4" ht="15" thickBot="1" x14ac:dyDescent="0.4">
      <c r="A95" s="28">
        <v>262200</v>
      </c>
      <c r="B95" s="7" t="str">
        <f>VLOOKUP(A95,Sheet2!A:F,1+'Balance 2022.02'!C$1,FALSE)</f>
        <v>Restructuring provision, Non-current</v>
      </c>
      <c r="C95" s="8">
        <v>-13133.8</v>
      </c>
      <c r="D95" s="9">
        <v>-18650</v>
      </c>
    </row>
    <row r="96" spans="1:4" ht="15" thickBot="1" x14ac:dyDescent="0.4">
      <c r="A96" s="28">
        <v>262400</v>
      </c>
      <c r="B96" s="7" t="str">
        <f>VLOOKUP(A96,Sheet2!A:F,1+'Balance 2022.02'!C$1,FALSE)</f>
        <v>Onerous contracts provision, Non-current</v>
      </c>
      <c r="C96" s="8">
        <v>-3940.14</v>
      </c>
      <c r="D96" s="9">
        <v>-5595</v>
      </c>
    </row>
    <row r="97" spans="1:4" ht="15" thickBot="1" x14ac:dyDescent="0.4">
      <c r="A97" s="28">
        <v>262500</v>
      </c>
      <c r="B97" s="7" t="str">
        <f>VLOOKUP(A97,Sheet2!A:F,1+'Balance 2022.02'!C$1,FALSE)</f>
        <v>Prov - decommission/restor/rehab. costs, N-Current</v>
      </c>
      <c r="C97" s="8">
        <v>-13133.8</v>
      </c>
      <c r="D97" s="9">
        <v>-18650</v>
      </c>
    </row>
    <row r="98" spans="1:4" ht="15" thickBot="1" x14ac:dyDescent="0.4">
      <c r="A98" s="28">
        <v>262600</v>
      </c>
      <c r="B98" s="7" t="str">
        <f>VLOOKUP(A98,Sheet2!A:F,1+'Balance 2022.02'!C$1,FALSE)</f>
        <v>Miscellaneous provisions, Non-current</v>
      </c>
      <c r="C98" s="8">
        <v>-1445121.66</v>
      </c>
      <c r="D98" s="9">
        <v>-2052073.81</v>
      </c>
    </row>
    <row r="99" spans="1:4" ht="15" thickBot="1" x14ac:dyDescent="0.4">
      <c r="A99" s="28">
        <v>271100</v>
      </c>
      <c r="B99" s="7" t="str">
        <f>VLOOKUP(A99,Sheet2!A:F,1+'Balance 2022.02'!C$1,FALSE)</f>
        <v>Borrowings, Non-current</v>
      </c>
      <c r="C99" s="8">
        <v>-8543877.6899999995</v>
      </c>
      <c r="D99" s="9">
        <v>-12132312.720000001</v>
      </c>
    </row>
    <row r="100" spans="1:4" ht="15" thickBot="1" x14ac:dyDescent="0.4">
      <c r="A100" s="28">
        <v>271300</v>
      </c>
      <c r="B100" s="7" t="str">
        <f>VLOOKUP(A100,Sheet2!A:F,1+'Balance 2022.02'!C$1,FALSE)</f>
        <v>Convertible bonds, Non-current</v>
      </c>
      <c r="C100" s="8">
        <v>-158531</v>
      </c>
      <c r="D100" s="9">
        <v>-225114.02</v>
      </c>
    </row>
    <row r="101" spans="1:4" ht="15" thickBot="1" x14ac:dyDescent="0.4">
      <c r="A101" s="28">
        <v>271500</v>
      </c>
      <c r="B101" s="7" t="str">
        <f>VLOOKUP(A101,Sheet2!A:F,1+'Balance 2022.02'!C$1,FALSE)</f>
        <v>Other financial liabilities, Non-current</v>
      </c>
      <c r="C101" s="8">
        <v>-1026</v>
      </c>
      <c r="D101" s="9">
        <v>-1456.92</v>
      </c>
    </row>
    <row r="102" spans="1:4" ht="15" thickBot="1" x14ac:dyDescent="0.4">
      <c r="A102" s="28">
        <v>281100</v>
      </c>
      <c r="B102" s="7" t="str">
        <f>VLOOKUP(A102,Sheet2!A:F,1+'Balance 2022.02'!C$1,FALSE)</f>
        <v>Debts on purchase of PPE, N-Current</v>
      </c>
      <c r="C102" s="8">
        <v>-2244.08</v>
      </c>
      <c r="D102" s="9">
        <v>-3186.6</v>
      </c>
    </row>
    <row r="103" spans="1:4" ht="15" thickBot="1" x14ac:dyDescent="0.4">
      <c r="A103" s="28">
        <v>281200</v>
      </c>
      <c r="B103" s="7" t="str">
        <f>VLOOKUP(A103,Sheet2!A:F,1+'Balance 2022.02'!C$1,FALSE)</f>
        <v>Debts on purchase of intangible assets, N-Current</v>
      </c>
      <c r="C103" s="8">
        <v>-1260.8399999999999</v>
      </c>
      <c r="D103" s="9">
        <v>-1790.4</v>
      </c>
    </row>
    <row r="104" spans="1:4" ht="15" thickBot="1" x14ac:dyDescent="0.4">
      <c r="A104" s="28">
        <v>281300</v>
      </c>
      <c r="B104" s="7" t="str">
        <f>VLOOKUP(A104,Sheet2!A:F,1+'Balance 2022.02'!C$1,FALSE)</f>
        <v>Debts on purchase of inv. in subs., N-Current</v>
      </c>
      <c r="C104" s="8">
        <v>-375.21</v>
      </c>
      <c r="D104" s="9">
        <v>-532.79999999999995</v>
      </c>
    </row>
    <row r="105" spans="1:4" ht="15" thickBot="1" x14ac:dyDescent="0.4">
      <c r="A105" s="28">
        <v>281400</v>
      </c>
      <c r="B105" s="7" t="str">
        <f>VLOOKUP(A105,Sheet2!A:F,1+'Balance 2022.02'!C$1,FALSE)</f>
        <v>Debts on purchase / inv. in oth. entities, N-Curr</v>
      </c>
      <c r="C105" s="8">
        <v>-630.41999999999996</v>
      </c>
      <c r="D105" s="9">
        <v>-895.2</v>
      </c>
    </row>
    <row r="106" spans="1:4" ht="15" thickBot="1" x14ac:dyDescent="0.4">
      <c r="A106" s="28">
        <v>281500</v>
      </c>
      <c r="B106" s="7" t="str">
        <f>VLOOKUP(A106,Sheet2!A:F,1+'Balance 2022.02'!C$1,FALSE)</f>
        <v>Debts on purchase of inv / other assets, N-Current</v>
      </c>
      <c r="C106" s="8">
        <v>-435.21</v>
      </c>
      <c r="D106" s="9">
        <v>-618</v>
      </c>
    </row>
    <row r="107" spans="1:4" ht="15" thickBot="1" x14ac:dyDescent="0.4">
      <c r="A107" s="28">
        <v>281600</v>
      </c>
      <c r="B107" s="7" t="str">
        <f>VLOOKUP(A107,Sheet2!A:F,1+'Balance 2022.02'!C$1,FALSE)</f>
        <v>Other payables, Non-current</v>
      </c>
      <c r="C107" s="8">
        <v>-12274.22</v>
      </c>
      <c r="D107" s="9">
        <v>-17429.400000000001</v>
      </c>
    </row>
    <row r="108" spans="1:4" ht="15" thickBot="1" x14ac:dyDescent="0.4">
      <c r="A108" s="28">
        <v>282100</v>
      </c>
      <c r="B108" s="7" t="str">
        <f>VLOOKUP(A108,Sheet2!A:F,1+'Balance 2022.02'!C$1,FALSE)</f>
        <v>Deferred income tax liability</v>
      </c>
      <c r="C108" s="8">
        <v>-127466.56</v>
      </c>
      <c r="D108" s="9">
        <v>-181141.24</v>
      </c>
    </row>
    <row r="109" spans="1:4" ht="15" thickBot="1" x14ac:dyDescent="0.4">
      <c r="A109" s="28">
        <v>311000</v>
      </c>
      <c r="B109" s="7" t="str">
        <f>VLOOKUP(A109,Sheet2!A:F,1+'Balance 2022.02'!C$1,FALSE)</f>
        <v>Issued capital</v>
      </c>
      <c r="C109" s="8">
        <v>-5550600</v>
      </c>
      <c r="D109" s="9">
        <v>-8158847.3600000003</v>
      </c>
    </row>
    <row r="110" spans="1:4" ht="15" thickBot="1" x14ac:dyDescent="0.4">
      <c r="A110" s="28">
        <v>312000</v>
      </c>
      <c r="B110" s="7" t="str">
        <f>VLOOKUP(A110,Sheet2!A:F,1+'Balance 2022.02'!C$1,FALSE)</f>
        <v>Share premium</v>
      </c>
      <c r="C110" s="8">
        <v>-470000</v>
      </c>
      <c r="D110" s="9">
        <v>-679587</v>
      </c>
    </row>
    <row r="111" spans="1:4" ht="15" thickBot="1" x14ac:dyDescent="0.4">
      <c r="A111" s="28">
        <v>313000</v>
      </c>
      <c r="B111" s="7" t="str">
        <f>VLOOKUP(A111,Sheet2!A:F,1+'Balance 2022.02'!C$1,FALSE)</f>
        <v>Treasury shares</v>
      </c>
      <c r="C111" s="8">
        <v>170000</v>
      </c>
      <c r="D111" s="9">
        <v>248069.5</v>
      </c>
    </row>
    <row r="112" spans="1:4" ht="15" thickBot="1" x14ac:dyDescent="0.4">
      <c r="A112" s="28">
        <v>314000</v>
      </c>
      <c r="B112" s="7" t="str">
        <f>VLOOKUP(A112,Sheet2!A:F,1+'Balance 2022.02'!C$1,FALSE)</f>
        <v>Revaluation surplus, before tax</v>
      </c>
      <c r="C112" s="8">
        <v>-76230</v>
      </c>
      <c r="D112" s="9">
        <v>-112076.78</v>
      </c>
    </row>
    <row r="113" spans="1:4" ht="15" thickBot="1" x14ac:dyDescent="0.4">
      <c r="A113" s="28">
        <v>314050</v>
      </c>
      <c r="B113" s="7" t="str">
        <f>VLOOKUP(A113,Sheet2!A:F,1+'Balance 2022.02'!C$1,FALSE)</f>
        <v>Income tax on revaluation surplus</v>
      </c>
      <c r="C113" s="8">
        <v>22190</v>
      </c>
      <c r="D113" s="9">
        <v>32621.8</v>
      </c>
    </row>
    <row r="114" spans="1:4" ht="15" thickBot="1" x14ac:dyDescent="0.4">
      <c r="A114" s="28">
        <v>314100</v>
      </c>
      <c r="B114" s="7" t="str">
        <f>VLOOKUP(A114,Sheet2!A:F,1+'Balance 2022.02'!C$1,FALSE)</f>
        <v>Remeasurements of defined benefit plans, bef. tax</v>
      </c>
      <c r="C114" s="8">
        <v>-1008</v>
      </c>
      <c r="D114" s="9">
        <v>-1644.7</v>
      </c>
    </row>
    <row r="115" spans="1:4" ht="15" thickBot="1" x14ac:dyDescent="0.4">
      <c r="A115" s="28">
        <v>314150</v>
      </c>
      <c r="B115" s="7" t="str">
        <f>VLOOKUP(A115,Sheet2!A:F,1+'Balance 2022.02'!C$1,FALSE)</f>
        <v>Tax on remeasurements of defined benefit plans</v>
      </c>
      <c r="C115" s="8">
        <v>350</v>
      </c>
      <c r="D115" s="9">
        <v>622.92999999999995</v>
      </c>
    </row>
    <row r="116" spans="1:4" ht="15" thickBot="1" x14ac:dyDescent="0.4">
      <c r="A116" s="28">
        <v>314200</v>
      </c>
      <c r="B116" s="7" t="str">
        <f>VLOOKUP(A116,Sheet2!A:F,1+'Balance 2022.02'!C$1,FALSE)</f>
        <v>Non-recyclable hedging reserve, before tax</v>
      </c>
      <c r="C116" s="8">
        <v>-3500</v>
      </c>
      <c r="D116" s="9">
        <v>-5147.1000000000004</v>
      </c>
    </row>
    <row r="117" spans="1:4" ht="15" thickBot="1" x14ac:dyDescent="0.4">
      <c r="A117" s="28">
        <v>314250</v>
      </c>
      <c r="B117" s="7" t="str">
        <f>VLOOKUP(A117,Sheet2!A:F,1+'Balance 2022.02'!C$1,FALSE)</f>
        <v>Income tax on non-recyclable hedging reserve</v>
      </c>
      <c r="C117" s="8">
        <v>2744</v>
      </c>
      <c r="D117" s="9">
        <v>3952.22</v>
      </c>
    </row>
    <row r="118" spans="1:4" ht="15" thickBot="1" x14ac:dyDescent="0.4">
      <c r="A118" s="28">
        <v>314300</v>
      </c>
      <c r="B118" s="7" t="str">
        <f>VLOOKUP(A118,Sheet2!A:F,1+'Balance 2022.02'!C$1,FALSE)</f>
        <v>Non-recyclable fair value reserve, before tax</v>
      </c>
      <c r="C118" s="8">
        <v>0</v>
      </c>
      <c r="D118" s="9">
        <v>0</v>
      </c>
    </row>
    <row r="119" spans="1:4" ht="15" thickBot="1" x14ac:dyDescent="0.4">
      <c r="A119" s="28">
        <v>314350</v>
      </c>
      <c r="B119" s="7" t="str">
        <f>VLOOKUP(A119,Sheet2!A:F,1+'Balance 2022.02'!C$1,FALSE)</f>
        <v>Income tax on non-recyclable fair value reserve</v>
      </c>
      <c r="C119" s="8">
        <v>0</v>
      </c>
      <c r="D119" s="9">
        <v>0</v>
      </c>
    </row>
    <row r="120" spans="1:4" ht="15" thickBot="1" x14ac:dyDescent="0.4">
      <c r="A120" s="28">
        <v>314600</v>
      </c>
      <c r="B120" s="7" t="str">
        <f>VLOOKUP(A120,Sheet2!A:F,1+'Balance 2022.02'!C$1,FALSE)</f>
        <v>Recyclable fair value reserve, before tax</v>
      </c>
      <c r="C120" s="8">
        <v>-4850</v>
      </c>
      <c r="D120" s="9">
        <v>-7213.58</v>
      </c>
    </row>
    <row r="121" spans="1:4" ht="15" thickBot="1" x14ac:dyDescent="0.4">
      <c r="A121" s="28">
        <v>314700</v>
      </c>
      <c r="B121" s="7" t="str">
        <f>VLOOKUP(A121,Sheet2!A:F,1+'Balance 2022.02'!C$1,FALSE)</f>
        <v>Income tax on recyclable fair value reserve</v>
      </c>
      <c r="C121" s="8">
        <v>1700</v>
      </c>
      <c r="D121" s="9">
        <v>2554.12</v>
      </c>
    </row>
    <row r="122" spans="1:4" ht="15" thickBot="1" x14ac:dyDescent="0.4">
      <c r="A122" s="28">
        <v>314800</v>
      </c>
      <c r="B122" s="7" t="str">
        <f>VLOOKUP(A122,Sheet2!A:F,1+'Balance 2022.02'!C$1,FALSE)</f>
        <v>Foreign currency translation reserve, before tax</v>
      </c>
      <c r="C122" s="8">
        <v>4410130.3099999996</v>
      </c>
      <c r="D122" s="9">
        <v>7943738.0999999996</v>
      </c>
    </row>
    <row r="123" spans="1:4" ht="15" thickBot="1" x14ac:dyDescent="0.4">
      <c r="A123" s="28">
        <v>315000</v>
      </c>
      <c r="B123" s="7" t="str">
        <f>VLOOKUP(A123,Sheet2!A:F,1+'Balance 2022.02'!C$1,FALSE)</f>
        <v>Equity component of compound financial instruments</v>
      </c>
      <c r="C123" s="8">
        <v>-11378</v>
      </c>
      <c r="D123" s="9">
        <v>-16786.599999999999</v>
      </c>
    </row>
    <row r="124" spans="1:4" ht="15" thickBot="1" x14ac:dyDescent="0.4">
      <c r="A124" s="28">
        <v>316000</v>
      </c>
      <c r="B124" s="7" t="str">
        <f>VLOOKUP(A124,Sheet2!A:F,1+'Balance 2022.02'!C$1,FALSE)</f>
        <v>Retained earnings</v>
      </c>
      <c r="C124" s="8">
        <v>-28970047.440000001</v>
      </c>
      <c r="D124" s="9">
        <v>-42703954.57</v>
      </c>
    </row>
    <row r="125" spans="1:4" ht="15" thickBot="1" x14ac:dyDescent="0.4">
      <c r="A125" s="28">
        <v>317000</v>
      </c>
      <c r="B125" s="7" t="str">
        <f>VLOOKUP(A125,Sheet2!A:F,1+'Balance 2022.02'!C$1,FALSE)</f>
        <v>Net income</v>
      </c>
      <c r="C125" s="8">
        <v>-6703107.9900000002</v>
      </c>
      <c r="D125" s="9">
        <v>-9344486.9600000009</v>
      </c>
    </row>
    <row r="126" spans="1:4" ht="15" thickBot="1" x14ac:dyDescent="0.4">
      <c r="A126" s="28">
        <v>319000</v>
      </c>
      <c r="B126" s="7" t="str">
        <f>VLOOKUP(A126,Sheet2!A:F,1+'Balance 2022.02'!C$1,FALSE)</f>
        <v>Net income - clearing</v>
      </c>
      <c r="C126" s="8">
        <v>88302.7</v>
      </c>
      <c r="D126" s="9">
        <v>123031.79</v>
      </c>
    </row>
    <row r="127" spans="1:4" ht="15" thickBot="1" x14ac:dyDescent="0.4">
      <c r="A127" s="28">
        <v>321100</v>
      </c>
      <c r="B127" s="7" t="str">
        <f>VLOOKUP(A127,Sheet2!A:F,1+'Balance 2022.02'!C$1,FALSE)</f>
        <v>NCI - Reserves and retained earnings</v>
      </c>
      <c r="C127" s="8">
        <v>-4175944.12</v>
      </c>
      <c r="D127" s="9">
        <v>-6140857.71</v>
      </c>
    </row>
    <row r="128" spans="1:4" ht="15" thickBot="1" x14ac:dyDescent="0.4">
      <c r="A128" s="28">
        <v>321150</v>
      </c>
      <c r="B128" s="7" t="str">
        <f>VLOOKUP(A128,Sheet2!A:F,1+'Balance 2022.02'!C$1,FALSE)</f>
        <v>NCI - Net income</v>
      </c>
      <c r="C128" s="8">
        <v>-1306711.1499999999</v>
      </c>
      <c r="D128" s="9">
        <v>-1824743.87</v>
      </c>
    </row>
    <row r="129" spans="1:4" ht="15" thickBot="1" x14ac:dyDescent="0.4">
      <c r="A129" s="28">
        <v>321200</v>
      </c>
      <c r="B129" s="7" t="str">
        <f>VLOOKUP(A129,Sheet2!A:F,1+'Balance 2022.02'!C$1,FALSE)</f>
        <v>NCI - Revaluation surplus before tax</v>
      </c>
      <c r="C129" s="8">
        <v>-1500</v>
      </c>
      <c r="D129" s="9">
        <v>-2194.31</v>
      </c>
    </row>
    <row r="130" spans="1:4" ht="15" thickBot="1" x14ac:dyDescent="0.4">
      <c r="A130" s="28">
        <v>321210</v>
      </c>
      <c r="B130" s="7" t="str">
        <f>VLOOKUP(A130,Sheet2!A:F,1+'Balance 2022.02'!C$1,FALSE)</f>
        <v>NCI - Income tax on revaluation surplus</v>
      </c>
      <c r="C130" s="8">
        <v>510</v>
      </c>
      <c r="D130" s="9">
        <v>745.36</v>
      </c>
    </row>
    <row r="131" spans="1:4" ht="15" thickBot="1" x14ac:dyDescent="0.4">
      <c r="A131" s="28">
        <v>321250</v>
      </c>
      <c r="B131" s="7" t="str">
        <f>VLOOKUP(A131,Sheet2!A:F,1+'Balance 2022.02'!C$1,FALSE)</f>
        <v>NCI - Remeasur. defined benefit plans, bef. tax</v>
      </c>
      <c r="C131" s="8">
        <v>-900</v>
      </c>
      <c r="D131" s="9">
        <v>-1393.11</v>
      </c>
    </row>
    <row r="132" spans="1:4" ht="15" thickBot="1" x14ac:dyDescent="0.4">
      <c r="A132" s="28">
        <v>321260</v>
      </c>
      <c r="B132" s="7" t="str">
        <f>VLOOKUP(A132,Sheet2!A:F,1+'Balance 2022.02'!C$1,FALSE)</f>
        <v>NCI - Tax on remeasur. defined benefit plans</v>
      </c>
      <c r="C132" s="8">
        <v>150</v>
      </c>
      <c r="D132" s="9">
        <v>266.97000000000003</v>
      </c>
    </row>
    <row r="133" spans="1:4" ht="15" thickBot="1" x14ac:dyDescent="0.4">
      <c r="A133" s="28">
        <v>321300</v>
      </c>
      <c r="B133" s="7" t="str">
        <f>VLOOKUP(A133,Sheet2!A:F,1+'Balance 2022.02'!C$1,FALSE)</f>
        <v>NCI - Non-recyclable hedging reserve, before tax</v>
      </c>
      <c r="C133" s="8">
        <v>-1500</v>
      </c>
      <c r="D133" s="9">
        <v>-2205.9</v>
      </c>
    </row>
    <row r="134" spans="1:4" ht="15" thickBot="1" x14ac:dyDescent="0.4">
      <c r="A134" s="28">
        <v>321310</v>
      </c>
      <c r="B134" s="7" t="str">
        <f>VLOOKUP(A134,Sheet2!A:F,1+'Balance 2022.02'!C$1,FALSE)</f>
        <v>NCI - Income tax on non-recyclable hedging reserve</v>
      </c>
      <c r="C134" s="8">
        <v>936</v>
      </c>
      <c r="D134" s="9">
        <v>1355.7</v>
      </c>
    </row>
    <row r="135" spans="1:4" ht="15" thickBot="1" x14ac:dyDescent="0.4">
      <c r="A135" s="28">
        <v>321350</v>
      </c>
      <c r="B135" s="7" t="str">
        <f>VLOOKUP(A135,Sheet2!A:F,1+'Balance 2022.02'!C$1,FALSE)</f>
        <v>NCI - Non-recycl. fair value reserve, before tax</v>
      </c>
      <c r="C135" s="8">
        <v>0</v>
      </c>
      <c r="D135" s="9">
        <v>0</v>
      </c>
    </row>
    <row r="136" spans="1:4" ht="15" thickBot="1" x14ac:dyDescent="0.4">
      <c r="A136" s="28">
        <v>321360</v>
      </c>
      <c r="B136" s="7" t="str">
        <f>VLOOKUP(A136,Sheet2!A:F,1+'Balance 2022.02'!C$1,FALSE)</f>
        <v>NCI - Income tax on non-recyclable fair value rese</v>
      </c>
      <c r="C136" s="8">
        <v>0</v>
      </c>
      <c r="D136" s="9">
        <v>0</v>
      </c>
    </row>
    <row r="137" spans="1:4" ht="15" thickBot="1" x14ac:dyDescent="0.4">
      <c r="A137" s="28">
        <v>321500</v>
      </c>
      <c r="B137" s="7" t="str">
        <f>VLOOKUP(A137,Sheet2!A:F,1+'Balance 2022.02'!C$1,FALSE)</f>
        <v>NCI - Recyclable fair value reserve, before tax</v>
      </c>
      <c r="C137" s="8">
        <v>-1650</v>
      </c>
      <c r="D137" s="9">
        <v>-2461.27</v>
      </c>
    </row>
    <row r="138" spans="1:4" ht="15" thickBot="1" x14ac:dyDescent="0.4">
      <c r="A138" s="28">
        <v>321550</v>
      </c>
      <c r="B138" s="7" t="str">
        <f>VLOOKUP(A138,Sheet2!A:F,1+'Balance 2022.02'!C$1,FALSE)</f>
        <v>NCI - Income tax on recyclable fair value reserve</v>
      </c>
      <c r="C138" s="8">
        <v>600</v>
      </c>
      <c r="D138" s="9">
        <v>905.56</v>
      </c>
    </row>
    <row r="139" spans="1:4" ht="15" thickBot="1" x14ac:dyDescent="0.4">
      <c r="A139" s="28">
        <v>321600</v>
      </c>
      <c r="B139" s="7" t="str">
        <f>VLOOKUP(A139,Sheet2!A:F,1+'Balance 2022.02'!C$1,FALSE)</f>
        <v>NCI - Foreign curr. translation reserve, bef. tax</v>
      </c>
      <c r="C139" s="8">
        <v>491229.47</v>
      </c>
      <c r="D139" s="9">
        <v>878082.66</v>
      </c>
    </row>
    <row r="140" spans="1:4" ht="15" thickBot="1" x14ac:dyDescent="0.4">
      <c r="A140" s="28">
        <v>321750</v>
      </c>
      <c r="B140" s="7" t="str">
        <f>VLOOKUP(A140,Sheet2!A:F,1+'Balance 2022.02'!C$1,FALSE)</f>
        <v>NCI - Compound financial instruments</v>
      </c>
      <c r="C140" s="8">
        <v>-1200</v>
      </c>
      <c r="D140" s="9">
        <v>-1787.91</v>
      </c>
    </row>
    <row r="141" spans="1:4" ht="15" thickBot="1" x14ac:dyDescent="0.4">
      <c r="A141" s="28">
        <v>411100</v>
      </c>
      <c r="B141" s="7" t="str">
        <f>VLOOKUP(A141,Sheet2!A:F,1+'Balance 2022.02'!C$1,FALSE)</f>
        <v>Sale of goods</v>
      </c>
      <c r="C141" s="8">
        <v>-365385947.16000003</v>
      </c>
      <c r="D141" s="9">
        <v>-510774078.04000002</v>
      </c>
    </row>
    <row r="142" spans="1:4" ht="15" thickBot="1" x14ac:dyDescent="0.4">
      <c r="A142" s="28">
        <v>412100</v>
      </c>
      <c r="B142" s="7" t="str">
        <f>VLOOKUP(A142,Sheet2!A:F,1+'Balance 2022.02'!C$1,FALSE)</f>
        <v>Changes in Inventory</v>
      </c>
      <c r="C142" s="8">
        <v>18046814.98</v>
      </c>
      <c r="D142" s="9">
        <v>25194845.969999999</v>
      </c>
    </row>
    <row r="143" spans="1:4" ht="15" thickBot="1" x14ac:dyDescent="0.4">
      <c r="A143" s="28">
        <v>412200</v>
      </c>
      <c r="B143" s="7" t="str">
        <f>VLOOKUP(A143,Sheet2!A:F,1+'Balance 2022.02'!C$1,FALSE)</f>
        <v>Cost of purchased services and materials</v>
      </c>
      <c r="C143" s="8">
        <v>114374985.66</v>
      </c>
      <c r="D143" s="9">
        <v>159920963.96000001</v>
      </c>
    </row>
    <row r="144" spans="1:4" ht="15" thickBot="1" x14ac:dyDescent="0.4">
      <c r="A144" s="28">
        <v>511000</v>
      </c>
      <c r="B144" s="7" t="str">
        <f>VLOOKUP(A144,Sheet2!A:F,1+'Balance 2022.02'!C$1,FALSE)</f>
        <v>Gains on the disposal of PPE</v>
      </c>
      <c r="C144" s="8">
        <v>-292362.21000000002</v>
      </c>
      <c r="D144" s="9">
        <v>-408133.48</v>
      </c>
    </row>
    <row r="145" spans="1:4" ht="15" thickBot="1" x14ac:dyDescent="0.4">
      <c r="A145" s="28">
        <v>511200</v>
      </c>
      <c r="B145" s="7" t="str">
        <f>VLOOKUP(A145,Sheet2!A:F,1+'Balance 2022.02'!C$1,FALSE)</f>
        <v>Gains on the disposal of intangible assets</v>
      </c>
      <c r="C145" s="8">
        <v>-653.49</v>
      </c>
      <c r="D145" s="9">
        <v>-912.27</v>
      </c>
    </row>
    <row r="146" spans="1:4" ht="15" thickBot="1" x14ac:dyDescent="0.4">
      <c r="A146" s="28">
        <v>511300</v>
      </c>
      <c r="B146" s="7" t="str">
        <f>VLOOKUP(A146,Sheet2!A:F,1+'Balance 2022.02'!C$1,FALSE)</f>
        <v>Gains on the disposal of other assets</v>
      </c>
      <c r="C146" s="8">
        <v>-465.54</v>
      </c>
      <c r="D146" s="9">
        <v>-648.97</v>
      </c>
    </row>
    <row r="147" spans="1:4" ht="15" thickBot="1" x14ac:dyDescent="0.4">
      <c r="A147" s="28">
        <v>512000</v>
      </c>
      <c r="B147" s="7" t="str">
        <f>VLOOKUP(A147,Sheet2!A:F,1+'Balance 2022.02'!C$1,FALSE)</f>
        <v>Gains on the sale of shares</v>
      </c>
      <c r="C147" s="8">
        <v>-347424</v>
      </c>
      <c r="D147" s="9">
        <v>-468278.6</v>
      </c>
    </row>
    <row r="148" spans="1:4" ht="15" thickBot="1" x14ac:dyDescent="0.4">
      <c r="A148" s="28">
        <v>515000</v>
      </c>
      <c r="B148" s="7" t="str">
        <f>VLOOKUP(A148,Sheet2!A:F,1+'Balance 2022.02'!C$1,FALSE)</f>
        <v>Other income</v>
      </c>
      <c r="C148" s="8">
        <v>-42254.66</v>
      </c>
      <c r="D148" s="9">
        <v>-58988.15</v>
      </c>
    </row>
    <row r="149" spans="1:4" ht="15" thickBot="1" x14ac:dyDescent="0.4">
      <c r="A149" s="28">
        <v>585000</v>
      </c>
      <c r="B149" s="7" t="str">
        <f>VLOOKUP(A149,Sheet2!A:F,1+'Balance 2022.02'!C$1,FALSE)</f>
        <v>Other expenses</v>
      </c>
      <c r="C149" s="8">
        <v>214874295.19999999</v>
      </c>
      <c r="D149" s="9">
        <v>300381572.49000001</v>
      </c>
    </row>
    <row r="150" spans="1:4" ht="15" thickBot="1" x14ac:dyDescent="0.4">
      <c r="A150" s="28">
        <v>601000</v>
      </c>
      <c r="B150" s="7" t="str">
        <f>VLOOKUP(A150,Sheet2!A:F,1+'Balance 2022.02'!C$1,FALSE)</f>
        <v>Interest income</v>
      </c>
      <c r="C150" s="8">
        <v>-281426.13</v>
      </c>
      <c r="D150" s="9">
        <v>-392878.7</v>
      </c>
    </row>
    <row r="151" spans="1:4" ht="15" thickBot="1" x14ac:dyDescent="0.4">
      <c r="A151" s="28">
        <v>602000</v>
      </c>
      <c r="B151" s="7" t="str">
        <f>VLOOKUP(A151,Sheet2!A:F,1+'Balance 2022.02'!C$1,FALSE)</f>
        <v>Financial fair value gains or losses</v>
      </c>
      <c r="C151" s="8">
        <v>-5636.45</v>
      </c>
      <c r="D151" s="9">
        <v>-7868.63</v>
      </c>
    </row>
    <row r="152" spans="1:4" ht="15" thickBot="1" x14ac:dyDescent="0.4">
      <c r="A152" s="28">
        <v>603000</v>
      </c>
      <c r="B152" s="7" t="str">
        <f>VLOOKUP(A152,Sheet2!A:F,1+'Balance 2022.02'!C$1,FALSE)</f>
        <v>Dividends</v>
      </c>
      <c r="C152" s="8">
        <v>-578749</v>
      </c>
      <c r="D152" s="9">
        <v>-806370.98</v>
      </c>
    </row>
    <row r="153" spans="1:4" ht="15" thickBot="1" x14ac:dyDescent="0.4">
      <c r="A153" s="28">
        <v>604000</v>
      </c>
      <c r="B153" s="7" t="str">
        <f>VLOOKUP(A153,Sheet2!A:F,1+'Balance 2022.02'!C$1,FALSE)</f>
        <v>Other financial income</v>
      </c>
      <c r="C153" s="8">
        <v>-146403.13</v>
      </c>
      <c r="D153" s="9">
        <v>-204380.19</v>
      </c>
    </row>
    <row r="154" spans="1:4" ht="15" thickBot="1" x14ac:dyDescent="0.4">
      <c r="A154" s="28">
        <v>652000</v>
      </c>
      <c r="B154" s="7" t="str">
        <f>VLOOKUP(A154,Sheet2!A:F,1+'Balance 2022.02'!C$1,FALSE)</f>
        <v>Interest expenses</v>
      </c>
      <c r="C154" s="8">
        <v>26702</v>
      </c>
      <c r="D154" s="9">
        <v>37277.58</v>
      </c>
    </row>
    <row r="155" spans="1:4" ht="15" thickBot="1" x14ac:dyDescent="0.4">
      <c r="A155" s="28">
        <v>653000</v>
      </c>
      <c r="B155" s="7" t="str">
        <f>VLOOKUP(A155,Sheet2!A:F,1+'Balance 2022.02'!C$1,FALSE)</f>
        <v>Other financial expenses</v>
      </c>
      <c r="C155" s="8">
        <v>1809727.31</v>
      </c>
      <c r="D155" s="9">
        <v>2529645.9700000002</v>
      </c>
    </row>
    <row r="156" spans="1:4" ht="15" thickBot="1" x14ac:dyDescent="0.4">
      <c r="A156" s="28">
        <v>711000</v>
      </c>
      <c r="B156" s="7" t="str">
        <f>VLOOKUP(A156,Sheet2!A:F,1+'Balance 2022.02'!C$1,FALSE)</f>
        <v>Share of profit - associates / JV at equity method</v>
      </c>
      <c r="C156" s="8">
        <v>-10400</v>
      </c>
      <c r="D156" s="9">
        <v>-14512.03</v>
      </c>
    </row>
    <row r="157" spans="1:4" ht="15" thickBot="1" x14ac:dyDescent="0.4">
      <c r="A157" s="28">
        <v>721000</v>
      </c>
      <c r="B157" s="7" t="str">
        <f>VLOOKUP(A157,Sheet2!A:F,1+'Balance 2022.02'!C$1,FALSE)</f>
        <v>Income tax</v>
      </c>
      <c r="C157" s="8">
        <v>9894489.5299999993</v>
      </c>
      <c r="D157" s="9">
        <v>13826887.27</v>
      </c>
    </row>
    <row r="158" spans="1:4" ht="15" thickBot="1" x14ac:dyDescent="0.4">
      <c r="A158" s="28">
        <v>722000</v>
      </c>
      <c r="B158" s="7" t="str">
        <f>VLOOKUP(A158,Sheet2!A:F,1+'Balance 2022.02'!C$1,FALSE)</f>
        <v>Deferred tax</v>
      </c>
      <c r="C158" s="8">
        <v>-126105.31</v>
      </c>
      <c r="D158" s="9">
        <v>-176052.59</v>
      </c>
    </row>
    <row r="159" spans="1:4" ht="15" thickBot="1" x14ac:dyDescent="0.4">
      <c r="A159" s="28">
        <v>730000</v>
      </c>
      <c r="B159" s="7" t="str">
        <f>VLOOKUP(A159,Sheet2!A:F,1+'Balance 2022.02'!C$1,FALSE)</f>
        <v>Profit (loss) from discontinued operations</v>
      </c>
      <c r="C159" s="8">
        <v>180992.28</v>
      </c>
      <c r="D159" s="9">
        <v>252678.13</v>
      </c>
    </row>
    <row r="160" spans="1:4" ht="15" thickBot="1" x14ac:dyDescent="0.4">
      <c r="A160" s="28">
        <v>792000</v>
      </c>
      <c r="B160" s="7" t="str">
        <f>VLOOKUP(A160,Sheet2!A:F,1+'Balance 2022.02'!C$1,FALSE)</f>
        <v>Net income - NCI</v>
      </c>
      <c r="C160" s="8">
        <v>1306711.1499999999</v>
      </c>
      <c r="D160" s="9">
        <v>1824743.87</v>
      </c>
    </row>
    <row r="161" spans="1:4" ht="15" thickBot="1" x14ac:dyDescent="0.4">
      <c r="A161" s="28">
        <v>799000</v>
      </c>
      <c r="B161" s="7" t="str">
        <f>VLOOKUP(A161,Sheet2!A:F,1+'Balance 2022.02'!C$1,FALSE)</f>
        <v>Net income/loss</v>
      </c>
      <c r="C161" s="8">
        <v>6703107.9900000002</v>
      </c>
      <c r="D161" s="9">
        <v>9344486.9600000009</v>
      </c>
    </row>
    <row r="162" spans="1:4" ht="15" thickBot="1" x14ac:dyDescent="0.4">
      <c r="A162" s="6" t="s">
        <v>9</v>
      </c>
      <c r="B162" s="7" t="str">
        <f>VLOOKUP(A162,Sheet2!A:F,1+'Balance 2022.02'!C$1,FALSE)</f>
        <v>Clearing Account - Gross Margin B/S</v>
      </c>
      <c r="C162" s="8">
        <v>0</v>
      </c>
      <c r="D162" s="9">
        <v>0</v>
      </c>
    </row>
    <row r="163" spans="1:4" ht="15" thickBot="1" x14ac:dyDescent="0.4">
      <c r="A163" s="6" t="s">
        <v>10</v>
      </c>
      <c r="B163" s="7" t="str">
        <f>VLOOKUP(A163,Sheet2!A:F,1+'Balance 2022.02'!C$1,FALSE)</f>
        <v>Elimination of investment, held cons unit</v>
      </c>
      <c r="C163" s="8">
        <v>-2198133</v>
      </c>
      <c r="D163" s="9">
        <v>-3157915.11</v>
      </c>
    </row>
    <row r="164" spans="1:4" ht="15" thickBot="1" x14ac:dyDescent="0.4">
      <c r="A164" s="6" t="s">
        <v>11</v>
      </c>
      <c r="B164" s="7" t="str">
        <f>VLOOKUP(A164,Sheet2!A:F,1+'Balance 2022.02'!C$1,FALSE)</f>
        <v>Elimination of investment, owner cons unit</v>
      </c>
      <c r="C164" s="8">
        <v>2198133</v>
      </c>
      <c r="D164" s="9">
        <v>3157915.11</v>
      </c>
    </row>
    <row r="165" spans="1:4" ht="15" thickBot="1" x14ac:dyDescent="0.4">
      <c r="A165" s="6" t="s">
        <v>12</v>
      </c>
      <c r="B165" s="7" t="str">
        <f>VLOOKUP(A165,Sheet2!A:F,1+'Balance 2022.02'!C$1,FALSE)</f>
        <v>Clearing account - Receivables/payables, Current</v>
      </c>
      <c r="C165" s="8">
        <v>0</v>
      </c>
      <c r="D165" s="9">
        <v>0</v>
      </c>
    </row>
    <row r="166" spans="1:4" ht="15" thickBot="1" x14ac:dyDescent="0.4">
      <c r="A166" s="6" t="s">
        <v>13</v>
      </c>
      <c r="B166" s="7" t="str">
        <f>VLOOKUP(A166,Sheet2!A:F,1+'Balance 2022.02'!C$1,FALSE)</f>
        <v>Clearing account - Trade Rec/Pay, Current</v>
      </c>
      <c r="C166" s="8">
        <v>-0.16</v>
      </c>
      <c r="D166" s="9">
        <v>-0.24</v>
      </c>
    </row>
    <row r="167" spans="1:4" ht="15" thickBot="1" x14ac:dyDescent="0.4">
      <c r="A167" s="6" t="s">
        <v>14</v>
      </c>
      <c r="B167" s="7" t="str">
        <f>VLOOKUP(A167,Sheet2!A:F,1+'Balance 2022.02'!C$1,FALSE)</f>
        <v>Clearing - Dividends rec/pay, Current</v>
      </c>
      <c r="C167" s="8">
        <v>0</v>
      </c>
      <c r="D167" s="9">
        <v>0</v>
      </c>
    </row>
    <row r="168" spans="1:4" ht="15" thickBot="1" x14ac:dyDescent="0.4">
      <c r="A168" s="6" t="s">
        <v>15</v>
      </c>
      <c r="B168" s="7" t="str">
        <f>VLOOKUP(A168,Sheet2!A:F,1+'Balance 2022.02'!C$1,FALSE)</f>
        <v>Clearing account - Financial assets/liab, Current</v>
      </c>
      <c r="C168" s="8">
        <v>-0.06</v>
      </c>
      <c r="D168" s="9">
        <v>-0.08</v>
      </c>
    </row>
    <row r="169" spans="1:4" ht="15" thickBot="1" x14ac:dyDescent="0.4">
      <c r="A169" s="6" t="s">
        <v>49</v>
      </c>
      <c r="B169" s="7" t="str">
        <f>VLOOKUP(A169,Sheet2!A:F,1+'Balance 2022.02'!C$1,FALSE)</f>
        <v>Clearing account - Financial assets/liab, N-Curr</v>
      </c>
      <c r="C169" s="8">
        <v>0.08</v>
      </c>
      <c r="D169" s="9">
        <v>0.12</v>
      </c>
    </row>
    <row r="170" spans="1:4" ht="15" thickBot="1" x14ac:dyDescent="0.4">
      <c r="A170" s="6" t="s">
        <v>16</v>
      </c>
      <c r="B170" s="7" t="str">
        <f>VLOOKUP(A170,Sheet2!A:F,1+'Balance 2022.02'!C$1,FALSE)</f>
        <v>Clearing account - Receiv./payables, Non-current</v>
      </c>
      <c r="C170" s="8">
        <v>-0.01</v>
      </c>
      <c r="D170" s="9">
        <v>-0.02</v>
      </c>
    </row>
    <row r="171" spans="1:4" ht="15" thickBot="1" x14ac:dyDescent="0.4">
      <c r="A171" s="6" t="s">
        <v>17</v>
      </c>
      <c r="B171" s="7" t="str">
        <f>VLOOKUP(A171,Sheet2!A:F,1+'Balance 2022.02'!C$1,FALSE)</f>
        <v>Clearing account - Gross margin</v>
      </c>
      <c r="C171" s="8">
        <v>0</v>
      </c>
      <c r="D171" s="9">
        <v>0</v>
      </c>
    </row>
    <row r="172" spans="1:4" ht="15" thickBot="1" x14ac:dyDescent="0.4">
      <c r="A172" s="6" t="s">
        <v>18</v>
      </c>
      <c r="B172" s="7" t="str">
        <f>VLOOKUP(A172,Sheet2!A:F,1+'Balance 2022.02'!C$1,FALSE)</f>
        <v>Clearing account - Other operating</v>
      </c>
      <c r="C172" s="8">
        <v>0.33</v>
      </c>
      <c r="D172" s="9">
        <v>0.83</v>
      </c>
    </row>
    <row r="173" spans="1:4" ht="15" thickBot="1" x14ac:dyDescent="0.4">
      <c r="A173" s="6" t="s">
        <v>19</v>
      </c>
      <c r="B173" s="7" t="str">
        <f>VLOOKUP(A173,Sheet2!A:F,1+'Balance 2022.02'!C$1,FALSE)</f>
        <v>Clearing account - financial result</v>
      </c>
      <c r="C173" s="8">
        <v>0.64</v>
      </c>
      <c r="D173" s="9">
        <v>-0.4</v>
      </c>
    </row>
  </sheetData>
  <mergeCells count="1">
    <mergeCell ref="C3:D3"/>
  </mergeCells>
  <dataValidations count="2">
    <dataValidation type="list" allowBlank="1" showInputMessage="1" showErrorMessage="1" sqref="B2" xr:uid="{8C01C9B2-173D-462A-8C90-411733BCB530}">
      <formula1>$H$10:$L$10</formula1>
    </dataValidation>
    <dataValidation type="list" allowBlank="1" showInputMessage="1" showErrorMessage="1" sqref="B1" xr:uid="{A580E152-B587-48D2-BFB4-8DFE50913ADA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4"/>
  <sheetViews>
    <sheetView workbookViewId="0">
      <selection activeCell="B14" sqref="B14"/>
    </sheetView>
  </sheetViews>
  <sheetFormatPr defaultColWidth="11.453125" defaultRowHeight="14.5" x14ac:dyDescent="0.35"/>
  <cols>
    <col min="1" max="1" width="23" customWidth="1"/>
    <col min="2" max="2" width="41.54296875" customWidth="1"/>
    <col min="3" max="4" width="21" style="3" customWidth="1"/>
  </cols>
  <sheetData>
    <row r="1" spans="1:12" ht="43.5" x14ac:dyDescent="0.35">
      <c r="A1" s="22" t="s">
        <v>2754</v>
      </c>
      <c r="B1" s="23" t="s">
        <v>2755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38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2" t="s">
        <v>1</v>
      </c>
      <c r="B4" s="2" t="s">
        <v>22</v>
      </c>
      <c r="C4" s="4" t="s">
        <v>47</v>
      </c>
      <c r="D4" s="4" t="s">
        <v>48</v>
      </c>
    </row>
    <row r="5" spans="1:12" ht="15" thickBot="1" x14ac:dyDescent="0.4">
      <c r="A5" s="29">
        <v>111100</v>
      </c>
      <c r="B5" s="7" t="str">
        <f>VLOOKUP(A5,Sheet2!A:F,1+'Balance sheet 2022.02'!C$1,FALSE)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9">
        <v>111200</v>
      </c>
      <c r="B6" s="7" t="str">
        <f>VLOOKUP(A6,Sheet2!A:F,1+'Balance sheet 2022.02'!C$1,FALSE)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13" t="s">
        <v>50</v>
      </c>
      <c r="B7" s="7" t="str">
        <f>VLOOKUP(A7,Sheet2!A:F,1+'Balance sheet 2022.02'!C$1,FALSE)</f>
        <v>Cash and cash equivalents</v>
      </c>
      <c r="C7" s="8">
        <v>29759814.469999999</v>
      </c>
      <c r="D7" s="9">
        <v>42258958.729999997</v>
      </c>
    </row>
    <row r="8" spans="1:12" ht="15" thickBot="1" x14ac:dyDescent="0.4">
      <c r="A8" s="29">
        <v>121100</v>
      </c>
      <c r="B8" s="7" t="str">
        <f>VLOOKUP(A8,Sheet2!A:F,1+'Balance sheet 2022.02'!C$1,FALSE)</f>
        <v>Trade receivables, Gross</v>
      </c>
      <c r="C8" s="8">
        <v>34193806.590000004</v>
      </c>
      <c r="D8" s="9">
        <v>48555232.060000002</v>
      </c>
    </row>
    <row r="9" spans="1:12" ht="15" thickBot="1" x14ac:dyDescent="0.4">
      <c r="A9" s="29">
        <v>121190</v>
      </c>
      <c r="B9" s="7" t="str">
        <f>VLOOKUP(A9,Sheet2!A:F,1+'Balance sheet 2022.02'!C$1,FALSE)</f>
        <v>Trade receivables, Allowance</v>
      </c>
      <c r="C9" s="8">
        <v>-873012.25</v>
      </c>
      <c r="D9" s="9">
        <v>-1239678.04</v>
      </c>
    </row>
    <row r="10" spans="1:12" ht="15" thickBot="1" x14ac:dyDescent="0.4">
      <c r="A10" s="29">
        <v>121200</v>
      </c>
      <c r="B10" s="7" t="str">
        <f>VLOOKUP(A10,Sheet2!A:F,1+'Balance sheet 2022.02'!C$1,FALSE)</f>
        <v>Receivables on disposal of PPE, Current, Gross</v>
      </c>
      <c r="C10" s="8">
        <v>7504.22</v>
      </c>
      <c r="D10" s="9">
        <v>10656</v>
      </c>
    </row>
    <row r="11" spans="1:12" ht="15" thickBot="1" x14ac:dyDescent="0.4">
      <c r="A11" s="29">
        <v>121300</v>
      </c>
      <c r="B11" s="7" t="str">
        <f>VLOOKUP(A11,Sheet2!A:F,1+'Balance sheet 2022.02'!C$1,FALSE)</f>
        <v>Receivables / disp. Intang.assets, Current, Gross</v>
      </c>
      <c r="C11" s="8">
        <v>4352.1099999999997</v>
      </c>
      <c r="D11" s="9">
        <v>6180</v>
      </c>
    </row>
    <row r="12" spans="1:12" ht="15" thickBot="1" x14ac:dyDescent="0.4">
      <c r="A12" s="29">
        <v>121400</v>
      </c>
      <c r="B12" s="7" t="str">
        <f>VLOOKUP(A12,Sheet2!A:F,1+'Balance sheet 2022.02'!C$1,FALSE)</f>
        <v>Receivables / disp. invest. subsid, Current, Gross</v>
      </c>
      <c r="C12" s="8">
        <v>990.42</v>
      </c>
      <c r="D12" s="9">
        <v>1406.4</v>
      </c>
    </row>
    <row r="13" spans="1:12" ht="15" thickBot="1" x14ac:dyDescent="0.4">
      <c r="A13" s="29">
        <v>121500</v>
      </c>
      <c r="B13" s="7" t="str">
        <f>VLOOKUP(A13,Sheet2!A:F,1+'Balance sheet 2022.02'!C$1,FALSE)</f>
        <v>Receivables / disp. Inv. oth entities, Current, GV</v>
      </c>
      <c r="C13" s="8">
        <v>1995.21</v>
      </c>
      <c r="D13" s="9">
        <v>2833.2</v>
      </c>
    </row>
    <row r="14" spans="1:12" ht="15" thickBot="1" x14ac:dyDescent="0.4">
      <c r="A14" s="29">
        <v>121600</v>
      </c>
      <c r="B14" s="7" t="str">
        <f>VLOOKUP(A14,Sheet2!A:F,1+'Balance sheet 2022.02'!C$1,FALSE)</f>
        <v>Receivables /disp. Inv. oth assets, Current, Gross</v>
      </c>
      <c r="C14" s="8">
        <v>2761.69</v>
      </c>
      <c r="D14" s="9">
        <v>3921.6</v>
      </c>
    </row>
    <row r="15" spans="1:12" ht="15" thickBot="1" x14ac:dyDescent="0.4">
      <c r="A15" s="29">
        <v>121700</v>
      </c>
      <c r="B15" s="7" t="str">
        <f>VLOOKUP(A15,Sheet2!A:F,1+'Balance sheet 2022.02'!C$1,FALSE)</f>
        <v>Dividends receivable</v>
      </c>
      <c r="C15" s="8">
        <v>1800</v>
      </c>
      <c r="D15" s="9">
        <v>2556</v>
      </c>
    </row>
    <row r="16" spans="1:12" ht="15" thickBot="1" x14ac:dyDescent="0.4">
      <c r="A16" s="29">
        <v>121800</v>
      </c>
      <c r="B16" s="7" t="str">
        <f>VLOOKUP(A16,Sheet2!A:F,1+'Balance sheet 2022.02'!C$1,FALSE)</f>
        <v>Other receivables, Current, Gross</v>
      </c>
      <c r="C16" s="8">
        <v>1084412.1499999999</v>
      </c>
      <c r="D16" s="9">
        <v>1539866.15</v>
      </c>
    </row>
    <row r="17" spans="1:4" ht="15" thickBot="1" x14ac:dyDescent="0.4">
      <c r="A17" s="29">
        <v>121900</v>
      </c>
      <c r="B17" s="7" t="str">
        <f>VLOOKUP(A17,Sheet2!A:F,1+'Balance sheet 2022.02'!C$1,FALSE)</f>
        <v>Accrued interests on receivables</v>
      </c>
      <c r="C17" s="8">
        <v>49681.69</v>
      </c>
      <c r="D17" s="9">
        <v>70548</v>
      </c>
    </row>
    <row r="18" spans="1:4" ht="15" thickBot="1" x14ac:dyDescent="0.4">
      <c r="A18" s="29">
        <v>121990</v>
      </c>
      <c r="B18" s="7" t="str">
        <f>VLOOKUP(A18,Sheet2!A:F,1+'Balance sheet 2022.02'!C$1,FALSE)</f>
        <v>Other receivables, Allow</v>
      </c>
      <c r="C18" s="8">
        <v>-19963.38</v>
      </c>
      <c r="D18" s="9">
        <v>-28348</v>
      </c>
    </row>
    <row r="19" spans="1:4" ht="15" thickBot="1" x14ac:dyDescent="0.4">
      <c r="A19" s="13" t="s">
        <v>51</v>
      </c>
      <c r="B19" s="7" t="str">
        <f>VLOOKUP(A19,Sheet2!A:F,1+'Balance sheet 2022.02'!C$1,FALSE)</f>
        <v>Trade and other current receivables</v>
      </c>
      <c r="C19" s="8">
        <v>34454328.450000003</v>
      </c>
      <c r="D19" s="9">
        <v>48925173.369999997</v>
      </c>
    </row>
    <row r="20" spans="1:4" ht="15" thickBot="1" x14ac:dyDescent="0.4">
      <c r="A20" s="29">
        <v>122100</v>
      </c>
      <c r="B20" s="7" t="str">
        <f>VLOOKUP(A20,Sheet2!A:F,1+'Balance sheet 2022.02'!C$1,FALSE)</f>
        <v>Income tax receivables</v>
      </c>
      <c r="C20" s="8">
        <v>0</v>
      </c>
      <c r="D20" s="9">
        <v>0</v>
      </c>
    </row>
    <row r="21" spans="1:4" ht="15" thickBot="1" x14ac:dyDescent="0.4">
      <c r="A21" s="13" t="s">
        <v>52</v>
      </c>
      <c r="B21" s="7" t="str">
        <f>VLOOKUP(A21,Sheet2!A:F,1+'Balance sheet 2022.02'!C$1,FALSE)</f>
        <v>Current tax assets</v>
      </c>
      <c r="C21" s="8">
        <v>0</v>
      </c>
      <c r="D21" s="9">
        <v>0</v>
      </c>
    </row>
    <row r="22" spans="1:4" ht="15" thickBot="1" x14ac:dyDescent="0.4">
      <c r="A22" s="29">
        <v>123100</v>
      </c>
      <c r="B22" s="7" t="str">
        <f>VLOOKUP(A22,Sheet2!A:F,1+'Balance sheet 2022.02'!C$1,FALSE)</f>
        <v>Prepaid expenses</v>
      </c>
      <c r="C22" s="8">
        <v>63429.05</v>
      </c>
      <c r="D22" s="9">
        <v>90069.31</v>
      </c>
    </row>
    <row r="23" spans="1:4" ht="15" thickBot="1" x14ac:dyDescent="0.4">
      <c r="A23" s="13" t="s">
        <v>53</v>
      </c>
      <c r="B23" s="7" t="str">
        <f>VLOOKUP(A23,Sheet2!A:F,1+'Balance sheet 2022.02'!C$1,FALSE)</f>
        <v>Other current assets</v>
      </c>
      <c r="C23" s="8">
        <v>63429.05</v>
      </c>
      <c r="D23" s="9">
        <v>90069.31</v>
      </c>
    </row>
    <row r="24" spans="1:4" ht="15" thickBot="1" x14ac:dyDescent="0.4">
      <c r="A24" s="29">
        <v>131100</v>
      </c>
      <c r="B24" s="7" t="str">
        <f>VLOOKUP(A24,Sheet2!A:F,1+'Balance sheet 2022.02'!C$1,FALSE)</f>
        <v>Raw materials</v>
      </c>
      <c r="C24" s="8">
        <v>2989078.27</v>
      </c>
      <c r="D24" s="9">
        <v>4244493.75</v>
      </c>
    </row>
    <row r="25" spans="1:4" ht="15" thickBot="1" x14ac:dyDescent="0.4">
      <c r="A25" s="29">
        <v>131200</v>
      </c>
      <c r="B25" s="7" t="str">
        <f>VLOOKUP(A25,Sheet2!A:F,1+'Balance sheet 2022.02'!C$1,FALSE)</f>
        <v>Merchandise</v>
      </c>
      <c r="C25" s="8">
        <v>3644655.3</v>
      </c>
      <c r="D25" s="9">
        <v>5175413.7699999996</v>
      </c>
    </row>
    <row r="26" spans="1:4" ht="15" thickBot="1" x14ac:dyDescent="0.4">
      <c r="A26" s="29">
        <v>131300</v>
      </c>
      <c r="B26" s="7" t="str">
        <f>VLOOKUP(A26,Sheet2!A:F,1+'Balance sheet 2022.02'!C$1,FALSE)</f>
        <v>Production supplies</v>
      </c>
      <c r="C26" s="8">
        <v>2912.11</v>
      </c>
      <c r="D26" s="9">
        <v>4135.2</v>
      </c>
    </row>
    <row r="27" spans="1:4" ht="15" thickBot="1" x14ac:dyDescent="0.4">
      <c r="A27" s="29">
        <v>131400</v>
      </c>
      <c r="B27" s="7" t="str">
        <f>VLOOKUP(A27,Sheet2!A:F,1+'Balance sheet 2022.02'!C$1,FALSE)</f>
        <v>Work in progress</v>
      </c>
      <c r="C27" s="8">
        <v>901848.7</v>
      </c>
      <c r="D27" s="9">
        <v>1280625.95</v>
      </c>
    </row>
    <row r="28" spans="1:4" ht="15" thickBot="1" x14ac:dyDescent="0.4">
      <c r="A28" s="29">
        <v>131500</v>
      </c>
      <c r="B28" s="7" t="str">
        <f>VLOOKUP(A28,Sheet2!A:F,1+'Balance sheet 2022.02'!C$1,FALSE)</f>
        <v>Finished goods</v>
      </c>
      <c r="C28" s="8">
        <v>920917.06</v>
      </c>
      <c r="D28" s="9">
        <v>1307703.05</v>
      </c>
    </row>
    <row r="29" spans="1:4" ht="15" thickBot="1" x14ac:dyDescent="0.4">
      <c r="A29" s="29">
        <v>131600</v>
      </c>
      <c r="B29" s="7" t="str">
        <f>VLOOKUP(A29,Sheet2!A:F,1+'Balance sheet 2022.02'!C$1,FALSE)</f>
        <v>Other inventories</v>
      </c>
      <c r="C29" s="8">
        <v>1966.48</v>
      </c>
      <c r="D29" s="9">
        <v>2792.4</v>
      </c>
    </row>
    <row r="30" spans="1:4" ht="15" thickBot="1" x14ac:dyDescent="0.4">
      <c r="A30" s="14" t="s">
        <v>9</v>
      </c>
      <c r="B30" s="7" t="str">
        <f>VLOOKUP(A30,Sheet2!A:F,1+'Balance sheet 2022.02'!C$1,FALSE)</f>
        <v>Clearing Account - Gross Margin B/S</v>
      </c>
      <c r="C30" s="8">
        <v>0</v>
      </c>
      <c r="D30" s="9">
        <v>0</v>
      </c>
    </row>
    <row r="31" spans="1:4" ht="15" thickBot="1" x14ac:dyDescent="0.4">
      <c r="A31" s="13" t="s">
        <v>54</v>
      </c>
      <c r="B31" s="7" t="str">
        <f>VLOOKUP(A31,Sheet2!A:F,1+'Balance sheet 2022.02'!C$1,FALSE)</f>
        <v>Inventories</v>
      </c>
      <c r="C31" s="8">
        <v>8461377.9199999999</v>
      </c>
      <c r="D31" s="9">
        <v>12015164.119999999</v>
      </c>
    </row>
    <row r="32" spans="1:4" ht="15" thickBot="1" x14ac:dyDescent="0.4">
      <c r="A32" s="29">
        <v>141100</v>
      </c>
      <c r="B32" s="7" t="str">
        <f>VLOOKUP(A32,Sheet2!A:F,1+'Balance sheet 2022.02'!C$1,FALSE)</f>
        <v>Other financial assets at FVTOCI, Current</v>
      </c>
      <c r="C32" s="8">
        <v>18100</v>
      </c>
      <c r="D32" s="9">
        <v>25702</v>
      </c>
    </row>
    <row r="33" spans="1:4" ht="15" thickBot="1" x14ac:dyDescent="0.4">
      <c r="A33" s="29">
        <v>141200</v>
      </c>
      <c r="B33" s="7" t="str">
        <f>VLOOKUP(A33,Sheet2!A:F,1+'Balance sheet 2022.02'!C$1,FALSE)</f>
        <v>Derivatives, Current</v>
      </c>
      <c r="C33" s="8">
        <v>4908</v>
      </c>
      <c r="D33" s="9">
        <v>6969.36</v>
      </c>
    </row>
    <row r="34" spans="1:4" ht="15" thickBot="1" x14ac:dyDescent="0.4">
      <c r="A34" s="29">
        <v>141300</v>
      </c>
      <c r="B34" s="7" t="str">
        <f>VLOOKUP(A34,Sheet2!A:F,1+'Balance sheet 2022.02'!C$1,FALSE)</f>
        <v>Financial assets at FVPL, Current</v>
      </c>
      <c r="C34" s="8">
        <v>5840</v>
      </c>
      <c r="D34" s="9">
        <v>8292.7999999999993</v>
      </c>
    </row>
    <row r="35" spans="1:4" ht="15" thickBot="1" x14ac:dyDescent="0.4">
      <c r="A35" s="29">
        <v>141400</v>
      </c>
      <c r="B35" s="7" t="str">
        <f>VLOOKUP(A35,Sheet2!A:F,1+'Balance sheet 2022.02'!C$1,FALSE)</f>
        <v>Loans and cash advances, Current, Gross</v>
      </c>
      <c r="C35" s="8">
        <v>39576.82</v>
      </c>
      <c r="D35" s="9">
        <v>56199.08</v>
      </c>
    </row>
    <row r="36" spans="1:4" ht="15" thickBot="1" x14ac:dyDescent="0.4">
      <c r="A36" s="29">
        <v>141490</v>
      </c>
      <c r="B36" s="7" t="str">
        <f>VLOOKUP(A36,Sheet2!A:F,1+'Balance sheet 2022.02'!C$1,FALSE)</f>
        <v>Loans and cash advances, Current, Allowance</v>
      </c>
      <c r="C36" s="8">
        <v>-9456.34</v>
      </c>
      <c r="D36" s="9">
        <v>-13428</v>
      </c>
    </row>
    <row r="37" spans="1:4" ht="15" thickBot="1" x14ac:dyDescent="0.4">
      <c r="A37" s="13" t="s">
        <v>55</v>
      </c>
      <c r="B37" s="7" t="str">
        <f>VLOOKUP(A37,Sheet2!A:F,1+'Balance sheet 2022.02'!C$1,FALSE)</f>
        <v>Other current financial assets</v>
      </c>
      <c r="C37" s="8">
        <v>58968.480000000003</v>
      </c>
      <c r="D37" s="9">
        <v>83735.240000000005</v>
      </c>
    </row>
    <row r="38" spans="1:4" ht="15" thickBot="1" x14ac:dyDescent="0.4">
      <c r="A38" s="12" t="s">
        <v>56</v>
      </c>
      <c r="B38" s="7" t="str">
        <f>VLOOKUP(A38,Sheet2!A:F,1+'Balance sheet 2022.02'!C$1,FALSE)</f>
        <v>Current assets oth.than incl.in disposal groups</v>
      </c>
      <c r="C38" s="8">
        <v>72797918.370000005</v>
      </c>
      <c r="D38" s="9">
        <v>103373100.77</v>
      </c>
    </row>
    <row r="39" spans="1:4" ht="15" thickBot="1" x14ac:dyDescent="0.4">
      <c r="A39" s="30">
        <v>151100</v>
      </c>
      <c r="B39" s="7" t="str">
        <f>VLOOKUP(A39,Sheet2!A:F,1+'Balance sheet 2022.02'!C$1,FALSE)</f>
        <v>NC assets or disp. groups classified HFS</v>
      </c>
      <c r="C39" s="8">
        <v>2000</v>
      </c>
      <c r="D39" s="9">
        <v>2840</v>
      </c>
    </row>
    <row r="40" spans="1:4" ht="15" thickBot="1" x14ac:dyDescent="0.4">
      <c r="A40" s="12" t="s">
        <v>57</v>
      </c>
      <c r="B40" s="7" t="str">
        <f>VLOOKUP(A40,Sheet2!A:F,1+'Balance sheet 2022.02'!C$1,FALSE)</f>
        <v>NC assets or disp. groups classified HFS/HDO</v>
      </c>
      <c r="C40" s="8">
        <v>2000</v>
      </c>
      <c r="D40" s="9">
        <v>2840</v>
      </c>
    </row>
    <row r="41" spans="1:4" ht="15" thickBot="1" x14ac:dyDescent="0.4">
      <c r="A41" s="11" t="s">
        <v>58</v>
      </c>
      <c r="B41" s="7" t="str">
        <f>VLOOKUP(A41,Sheet2!A:F,1+'Balance sheet 2022.02'!C$1,FALSE)</f>
        <v>Current assets</v>
      </c>
      <c r="C41" s="8">
        <v>72799918.370000005</v>
      </c>
      <c r="D41" s="9">
        <v>103375940.77</v>
      </c>
    </row>
    <row r="42" spans="1:4" ht="15" thickBot="1" x14ac:dyDescent="0.4">
      <c r="A42" s="30">
        <v>161100</v>
      </c>
      <c r="B42" s="7" t="str">
        <f>VLOOKUP(A42,Sheet2!A:F,1+'Balance sheet 2022.02'!C$1,FALSE)</f>
        <v>Lands and buildings</v>
      </c>
      <c r="C42" s="8">
        <v>21178852.699999999</v>
      </c>
      <c r="D42" s="9">
        <v>30073986.530000001</v>
      </c>
    </row>
    <row r="43" spans="1:4" ht="15" thickBot="1" x14ac:dyDescent="0.4">
      <c r="A43" s="30">
        <v>161190</v>
      </c>
      <c r="B43" s="7" t="str">
        <f>VLOOKUP(A43,Sheet2!A:F,1+'Balance sheet 2022.02'!C$1,FALSE)</f>
        <v>Lands and buildings, Depreciation</v>
      </c>
      <c r="C43" s="8">
        <v>-6727684.9199999999</v>
      </c>
      <c r="D43" s="9">
        <v>-9553370.6199999992</v>
      </c>
    </row>
    <row r="44" spans="1:4" ht="15" thickBot="1" x14ac:dyDescent="0.4">
      <c r="A44" s="30">
        <v>161200</v>
      </c>
      <c r="B44" s="7" t="str">
        <f>VLOOKUP(A44,Sheet2!A:F,1+'Balance sheet 2022.02'!C$1,FALSE)</f>
        <v>Tangibles assets under construction</v>
      </c>
      <c r="C44" s="8">
        <v>1106367.77</v>
      </c>
      <c r="D44" s="9">
        <v>1571043.05</v>
      </c>
    </row>
    <row r="45" spans="1:4" ht="15" thickBot="1" x14ac:dyDescent="0.4">
      <c r="A45" s="30">
        <v>161300</v>
      </c>
      <c r="B45" s="7" t="str">
        <f>VLOOKUP(A45,Sheet2!A:F,1+'Balance sheet 2022.02'!C$1,FALSE)</f>
        <v>Office equipment</v>
      </c>
      <c r="C45" s="8">
        <v>272058.67</v>
      </c>
      <c r="D45" s="9">
        <v>386323.41</v>
      </c>
    </row>
    <row r="46" spans="1:4" ht="15" thickBot="1" x14ac:dyDescent="0.4">
      <c r="A46" s="30">
        <v>161390</v>
      </c>
      <c r="B46" s="7" t="str">
        <f>VLOOKUP(A46,Sheet2!A:F,1+'Balance sheet 2022.02'!C$1,FALSE)</f>
        <v>Office equipment, Depreciation</v>
      </c>
      <c r="C46" s="8">
        <v>-77279.33</v>
      </c>
      <c r="D46" s="9">
        <v>-109736.69</v>
      </c>
    </row>
    <row r="47" spans="1:4" ht="15" thickBot="1" x14ac:dyDescent="0.4">
      <c r="A47" s="30">
        <v>161400</v>
      </c>
      <c r="B47" s="7" t="str">
        <f>VLOOKUP(A47,Sheet2!A:F,1+'Balance sheet 2022.02'!C$1,FALSE)</f>
        <v>Vehicles</v>
      </c>
      <c r="C47" s="8">
        <v>80904.22</v>
      </c>
      <c r="D47" s="9">
        <v>114884</v>
      </c>
    </row>
    <row r="48" spans="1:4" ht="15" thickBot="1" x14ac:dyDescent="0.4">
      <c r="A48" s="30">
        <v>161490</v>
      </c>
      <c r="B48" s="7" t="str">
        <f>VLOOKUP(A48,Sheet2!A:F,1+'Balance sheet 2022.02'!C$1,FALSE)</f>
        <v>Vehicles, Depreciation</v>
      </c>
      <c r="C48" s="8">
        <v>-53585.919999999998</v>
      </c>
      <c r="D48" s="9">
        <v>-76092</v>
      </c>
    </row>
    <row r="49" spans="1:4" ht="15" thickBot="1" x14ac:dyDescent="0.4">
      <c r="A49" s="30">
        <v>161500</v>
      </c>
      <c r="B49" s="7" t="str">
        <f>VLOOKUP(A49,Sheet2!A:F,1+'Balance sheet 2022.02'!C$1,FALSE)</f>
        <v>Machinery</v>
      </c>
      <c r="C49" s="8">
        <v>47386.76</v>
      </c>
      <c r="D49" s="9">
        <v>67289.2</v>
      </c>
    </row>
    <row r="50" spans="1:4" ht="15" thickBot="1" x14ac:dyDescent="0.4">
      <c r="A50" s="30">
        <v>161590</v>
      </c>
      <c r="B50" s="7" t="str">
        <f>VLOOKUP(A50,Sheet2!A:F,1+'Balance sheet 2022.02'!C$1,FALSE)</f>
        <v>Machinery, Depreciation</v>
      </c>
      <c r="C50" s="8">
        <v>-20677.72</v>
      </c>
      <c r="D50" s="9">
        <v>-29362.36</v>
      </c>
    </row>
    <row r="51" spans="1:4" ht="15" thickBot="1" x14ac:dyDescent="0.4">
      <c r="A51" s="30">
        <v>161600</v>
      </c>
      <c r="B51" s="7" t="str">
        <f>VLOOKUP(A51,Sheet2!A:F,1+'Balance sheet 2022.02'!C$1,FALSE)</f>
        <v>Other property, plant and equipment</v>
      </c>
      <c r="C51" s="8">
        <v>796069.86</v>
      </c>
      <c r="D51" s="9">
        <v>1130419.2</v>
      </c>
    </row>
    <row r="52" spans="1:4" ht="15" thickBot="1" x14ac:dyDescent="0.4">
      <c r="A52" s="30">
        <v>161690</v>
      </c>
      <c r="B52" s="7" t="str">
        <f>VLOOKUP(A52,Sheet2!A:F,1+'Balance sheet 2022.02'!C$1,FALSE)</f>
        <v>Other property, plant and equipment, Depreciation</v>
      </c>
      <c r="C52" s="8">
        <v>-389023.24</v>
      </c>
      <c r="D52" s="9">
        <v>-552413</v>
      </c>
    </row>
    <row r="53" spans="1:4" ht="15" thickBot="1" x14ac:dyDescent="0.4">
      <c r="A53" s="12" t="s">
        <v>59</v>
      </c>
      <c r="B53" s="7" t="str">
        <f>VLOOKUP(A53,Sheet2!A:F,1+'Balance sheet 2022.02'!C$1,FALSE)</f>
        <v>Property, plant and equipment</v>
      </c>
      <c r="C53" s="8">
        <v>16213388.85</v>
      </c>
      <c r="D53" s="9">
        <v>23022970.719999999</v>
      </c>
    </row>
    <row r="54" spans="1:4" ht="15" thickBot="1" x14ac:dyDescent="0.4">
      <c r="A54" s="30">
        <v>162100</v>
      </c>
      <c r="B54" s="7" t="str">
        <f>VLOOKUP(A54,Sheet2!A:F,1+'Balance sheet 2022.02'!C$1,FALSE)</f>
        <v>Investment property</v>
      </c>
      <c r="C54" s="8">
        <v>106646.48</v>
      </c>
      <c r="D54" s="9">
        <v>151438</v>
      </c>
    </row>
    <row r="55" spans="1:4" ht="15" thickBot="1" x14ac:dyDescent="0.4">
      <c r="A55" s="30">
        <v>162190</v>
      </c>
      <c r="B55" s="7" t="str">
        <f>VLOOKUP(A55,Sheet2!A:F,1+'Balance sheet 2022.02'!C$1,FALSE)</f>
        <v>Investment property, Depreciation</v>
      </c>
      <c r="C55" s="8">
        <v>-17310.349999999999</v>
      </c>
      <c r="D55" s="9">
        <v>-24580.7</v>
      </c>
    </row>
    <row r="56" spans="1:4" ht="15" thickBot="1" x14ac:dyDescent="0.4">
      <c r="A56" s="12" t="s">
        <v>60</v>
      </c>
      <c r="B56" s="7" t="str">
        <f>VLOOKUP(A56,Sheet2!A:F,1+'Balance sheet 2022.02'!C$1,FALSE)</f>
        <v>Investment property</v>
      </c>
      <c r="C56" s="8">
        <v>89336.13</v>
      </c>
      <c r="D56" s="9">
        <v>126857.3</v>
      </c>
    </row>
    <row r="57" spans="1:4" ht="15" thickBot="1" x14ac:dyDescent="0.4">
      <c r="A57" s="30">
        <v>163100</v>
      </c>
      <c r="B57" s="7" t="str">
        <f>VLOOKUP(A57,Sheet2!A:F,1+'Balance sheet 2022.02'!C$1,FALSE)</f>
        <v>Goodwill</v>
      </c>
      <c r="C57" s="8">
        <v>950833.1</v>
      </c>
      <c r="D57" s="9">
        <v>1350183</v>
      </c>
    </row>
    <row r="58" spans="1:4" ht="15" thickBot="1" x14ac:dyDescent="0.4">
      <c r="A58" s="12" t="s">
        <v>61</v>
      </c>
      <c r="B58" s="7" t="str">
        <f>VLOOKUP(A58,Sheet2!A:F,1+'Balance sheet 2022.02'!C$1,FALSE)</f>
        <v>Goodwill</v>
      </c>
      <c r="C58" s="8">
        <v>950833.1</v>
      </c>
      <c r="D58" s="9">
        <v>1350183</v>
      </c>
    </row>
    <row r="59" spans="1:4" ht="15" thickBot="1" x14ac:dyDescent="0.4">
      <c r="A59" s="30">
        <v>164100</v>
      </c>
      <c r="B59" s="7" t="str">
        <f>VLOOKUP(A59,Sheet2!A:F,1+'Balance sheet 2022.02'!C$1,FALSE)</f>
        <v>Brand names</v>
      </c>
      <c r="C59" s="8">
        <v>470431.91</v>
      </c>
      <c r="D59" s="9">
        <v>668013.64</v>
      </c>
    </row>
    <row r="60" spans="1:4" ht="15" thickBot="1" x14ac:dyDescent="0.4">
      <c r="A60" s="30">
        <v>164190</v>
      </c>
      <c r="B60" s="7" t="str">
        <f>VLOOKUP(A60,Sheet2!A:F,1+'Balance sheet 2022.02'!C$1,FALSE)</f>
        <v>Brand names, Amortization</v>
      </c>
      <c r="C60" s="8">
        <v>-12831.81</v>
      </c>
      <c r="D60" s="9">
        <v>-18221.18</v>
      </c>
    </row>
    <row r="61" spans="1:4" ht="15" thickBot="1" x14ac:dyDescent="0.4">
      <c r="A61" s="30">
        <v>164200</v>
      </c>
      <c r="B61" s="7" t="str">
        <f>VLOOKUP(A61,Sheet2!A:F,1+'Balance sheet 2022.02'!C$1,FALSE)</f>
        <v>Computer software</v>
      </c>
      <c r="C61" s="8">
        <v>6347918.5499999998</v>
      </c>
      <c r="D61" s="9">
        <v>9014049.0199999996</v>
      </c>
    </row>
    <row r="62" spans="1:4" ht="15" thickBot="1" x14ac:dyDescent="0.4">
      <c r="A62" s="30">
        <v>164290</v>
      </c>
      <c r="B62" s="7" t="str">
        <f>VLOOKUP(A62,Sheet2!A:F,1+'Balance sheet 2022.02'!C$1,FALSE)</f>
        <v>Computer software, Amortization</v>
      </c>
      <c r="C62" s="8">
        <v>-3015792.08</v>
      </c>
      <c r="D62" s="9">
        <v>-4282426.9800000004</v>
      </c>
    </row>
    <row r="63" spans="1:4" ht="15" thickBot="1" x14ac:dyDescent="0.4">
      <c r="A63" s="30">
        <v>164300</v>
      </c>
      <c r="B63" s="7" t="str">
        <f>VLOOKUP(A63,Sheet2!A:F,1+'Balance sheet 2022.02'!C$1,FALSE)</f>
        <v>Patents, trademarks and other rights</v>
      </c>
      <c r="C63" s="8">
        <v>873135.22</v>
      </c>
      <c r="D63" s="9">
        <v>1239852</v>
      </c>
    </row>
    <row r="64" spans="1:4" ht="15" thickBot="1" x14ac:dyDescent="0.4">
      <c r="A64" s="30">
        <v>164390</v>
      </c>
      <c r="B64" s="7" t="str">
        <f>VLOOKUP(A64,Sheet2!A:F,1+'Balance sheet 2022.02'!C$1,FALSE)</f>
        <v>Patents, trademarks and other rights, Amortization</v>
      </c>
      <c r="C64" s="8">
        <v>-593122.53</v>
      </c>
      <c r="D64" s="9">
        <v>-842234</v>
      </c>
    </row>
    <row r="65" spans="1:4" ht="15" thickBot="1" x14ac:dyDescent="0.4">
      <c r="A65" s="30">
        <v>164400</v>
      </c>
      <c r="B65" s="7" t="str">
        <f>VLOOKUP(A65,Sheet2!A:F,1+'Balance sheet 2022.02'!C$1,FALSE)</f>
        <v>Intangible assets under development</v>
      </c>
      <c r="C65" s="8">
        <v>66351.98</v>
      </c>
      <c r="D65" s="9">
        <v>94219.8</v>
      </c>
    </row>
    <row r="66" spans="1:4" ht="15" thickBot="1" x14ac:dyDescent="0.4">
      <c r="A66" s="30">
        <v>164490</v>
      </c>
      <c r="B66" s="7" t="str">
        <f>VLOOKUP(A66,Sheet2!A:F,1+'Balance sheet 2022.02'!C$1,FALSE)</f>
        <v>Intangible assets under development, Impairment</v>
      </c>
      <c r="C66" s="8">
        <v>-21814.080000000002</v>
      </c>
      <c r="D66" s="9">
        <v>-30976</v>
      </c>
    </row>
    <row r="67" spans="1:4" ht="15" thickBot="1" x14ac:dyDescent="0.4">
      <c r="A67" s="30">
        <v>164500</v>
      </c>
      <c r="B67" s="7" t="str">
        <f>VLOOKUP(A67,Sheet2!A:F,1+'Balance sheet 2022.02'!C$1,FALSE)</f>
        <v>Other intangible assets</v>
      </c>
      <c r="C67" s="8">
        <v>21907.18</v>
      </c>
      <c r="D67" s="9">
        <v>31108.2</v>
      </c>
    </row>
    <row r="68" spans="1:4" ht="15" thickBot="1" x14ac:dyDescent="0.4">
      <c r="A68" s="30">
        <v>164590</v>
      </c>
      <c r="B68" s="7" t="str">
        <f>VLOOKUP(A68,Sheet2!A:F,1+'Balance sheet 2022.02'!C$1,FALSE)</f>
        <v>Other intangible assets, Amortization</v>
      </c>
      <c r="C68" s="8">
        <v>-11400.14</v>
      </c>
      <c r="D68" s="9">
        <v>-16188.2</v>
      </c>
    </row>
    <row r="69" spans="1:4" ht="15" thickBot="1" x14ac:dyDescent="0.4">
      <c r="A69" s="12" t="s">
        <v>62</v>
      </c>
      <c r="B69" s="7" t="str">
        <f>VLOOKUP(A69,Sheet2!A:F,1+'Balance sheet 2022.02'!C$1,FALSE)</f>
        <v>Intangible assets</v>
      </c>
      <c r="C69" s="8">
        <v>4124784.2</v>
      </c>
      <c r="D69" s="9">
        <v>5857196.2999999998</v>
      </c>
    </row>
    <row r="70" spans="1:4" ht="15" thickBot="1" x14ac:dyDescent="0.4">
      <c r="A70" s="30">
        <v>171000</v>
      </c>
      <c r="B70" s="7" t="str">
        <f>VLOOKUP(A70,Sheet2!A:F,1+'Balance sheet 2022.02'!C$1,FALSE)</f>
        <v>Investments accounted for using equity method</v>
      </c>
      <c r="C70" s="8">
        <v>87088.04</v>
      </c>
      <c r="D70" s="9">
        <v>123665.02</v>
      </c>
    </row>
    <row r="71" spans="1:4" ht="15" thickBot="1" x14ac:dyDescent="0.4">
      <c r="A71" s="12" t="s">
        <v>63</v>
      </c>
      <c r="B71" s="7" t="str">
        <f>VLOOKUP(A71,Sheet2!A:F,1+'Balance sheet 2022.02'!C$1,FALSE)</f>
        <v>Investments accounted for using equity method</v>
      </c>
      <c r="C71" s="8">
        <v>87088.04</v>
      </c>
      <c r="D71" s="9">
        <v>123665.02</v>
      </c>
    </row>
    <row r="72" spans="1:4" ht="15" thickBot="1" x14ac:dyDescent="0.4">
      <c r="A72" s="30">
        <v>172100</v>
      </c>
      <c r="B72" s="7" t="str">
        <f>VLOOKUP(A72,Sheet2!A:F,1+'Balance sheet 2022.02'!C$1,FALSE)</f>
        <v>Investments in subs, JV and associates, GV</v>
      </c>
      <c r="C72" s="8">
        <v>0</v>
      </c>
      <c r="D72" s="9">
        <v>0</v>
      </c>
    </row>
    <row r="73" spans="1:4" ht="15" thickBot="1" x14ac:dyDescent="0.4">
      <c r="A73" s="13" t="s">
        <v>11</v>
      </c>
      <c r="B73" s="7" t="str">
        <f>VLOOKUP(A73,Sheet2!A:F,1+'Balance sheet 2022.02'!C$1,FALSE)</f>
        <v>Elimination of investment, owner cons unit</v>
      </c>
      <c r="C73" s="8">
        <v>2198133</v>
      </c>
      <c r="D73" s="9">
        <v>3157915.11</v>
      </c>
    </row>
    <row r="74" spans="1:4" ht="15" thickBot="1" x14ac:dyDescent="0.4">
      <c r="A74" s="13" t="s">
        <v>10</v>
      </c>
      <c r="B74" s="7" t="str">
        <f>VLOOKUP(A74,Sheet2!A:F,1+'Balance sheet 2022.02'!C$1,FALSE)</f>
        <v>Elimination of investment, held cons unit</v>
      </c>
      <c r="C74" s="8">
        <v>-2198133</v>
      </c>
      <c r="D74" s="9">
        <v>-3157915.11</v>
      </c>
    </row>
    <row r="75" spans="1:4" ht="15" thickBot="1" x14ac:dyDescent="0.4">
      <c r="A75" s="30">
        <v>172190</v>
      </c>
      <c r="B75" s="7" t="str">
        <f>VLOOKUP(A75,Sheet2!A:F,1+'Balance sheet 2022.02'!C$1,FALSE)</f>
        <v>Investments in subs, JV and associates, Impair</v>
      </c>
      <c r="C75" s="8">
        <v>0</v>
      </c>
      <c r="D75" s="9">
        <v>-0.2</v>
      </c>
    </row>
    <row r="76" spans="1:4" ht="15" thickBot="1" x14ac:dyDescent="0.4">
      <c r="A76" s="30">
        <v>172200</v>
      </c>
      <c r="B76" s="7" t="str">
        <f>VLOOKUP(A76,Sheet2!A:F,1+'Balance sheet 2022.02'!C$1,FALSE)</f>
        <v>Other financial assets at FVTOCI, Non-current</v>
      </c>
      <c r="C76" s="8">
        <v>6599.44</v>
      </c>
      <c r="D76" s="9">
        <v>9371.2000000000007</v>
      </c>
    </row>
    <row r="77" spans="1:4" ht="15" thickBot="1" x14ac:dyDescent="0.4">
      <c r="A77" s="30">
        <v>172400</v>
      </c>
      <c r="B77" s="7" t="str">
        <f>VLOOKUP(A77,Sheet2!A:F,1+'Balance sheet 2022.02'!C$1,FALSE)</f>
        <v>Financial assets at FVPL, Non-current</v>
      </c>
      <c r="C77" s="8">
        <v>1800</v>
      </c>
      <c r="D77" s="9">
        <v>2556</v>
      </c>
    </row>
    <row r="78" spans="1:4" ht="15" thickBot="1" x14ac:dyDescent="0.4">
      <c r="A78" s="12" t="s">
        <v>64</v>
      </c>
      <c r="B78" s="7" t="str">
        <f>VLOOKUP(A78,Sheet2!A:F,1+'Balance sheet 2022.02'!C$1,FALSE)</f>
        <v>Other non-current financial assets</v>
      </c>
      <c r="C78" s="8">
        <v>8399.44</v>
      </c>
      <c r="D78" s="9">
        <v>11927</v>
      </c>
    </row>
    <row r="79" spans="1:4" ht="15" thickBot="1" x14ac:dyDescent="0.4">
      <c r="A79" s="30">
        <v>181100</v>
      </c>
      <c r="B79" s="7" t="str">
        <f>VLOOKUP(A79,Sheet2!A:F,1+'Balance sheet 2022.02'!C$1,FALSE)</f>
        <v>Loans and cash advances, Non-current, Gross</v>
      </c>
      <c r="C79" s="8">
        <v>254041.12</v>
      </c>
      <c r="D79" s="9">
        <v>360738.51</v>
      </c>
    </row>
    <row r="80" spans="1:4" ht="15" thickBot="1" x14ac:dyDescent="0.4">
      <c r="A80" s="30">
        <v>181190</v>
      </c>
      <c r="B80" s="7" t="str">
        <f>VLOOKUP(A80,Sheet2!A:F,1+'Balance sheet 2022.02'!C$1,FALSE)</f>
        <v>Loans and cash advances, Non-current, Allowance</v>
      </c>
      <c r="C80" s="8">
        <v>-9981.69</v>
      </c>
      <c r="D80" s="9">
        <v>-14174</v>
      </c>
    </row>
    <row r="81" spans="1:4" ht="15" thickBot="1" x14ac:dyDescent="0.4">
      <c r="A81" s="30">
        <v>181200</v>
      </c>
      <c r="B81" s="7" t="str">
        <f>VLOOKUP(A81,Sheet2!A:F,1+'Balance sheet 2022.02'!C$1,FALSE)</f>
        <v>Receivables on disposal of PPE, N-Current, Gross</v>
      </c>
      <c r="C81" s="8">
        <v>5104.22</v>
      </c>
      <c r="D81" s="9">
        <v>7248</v>
      </c>
    </row>
    <row r="82" spans="1:4" ht="15" thickBot="1" x14ac:dyDescent="0.4">
      <c r="A82" s="30">
        <v>181300</v>
      </c>
      <c r="B82" s="7" t="str">
        <f>VLOOKUP(A82,Sheet2!A:F,1+'Balance sheet 2022.02'!C$1,FALSE)</f>
        <v>Receiv./ disp. Intang.assets, N-Current, Gross</v>
      </c>
      <c r="C82" s="8">
        <v>1590.43</v>
      </c>
      <c r="D82" s="9">
        <v>2258.42</v>
      </c>
    </row>
    <row r="83" spans="1:4" ht="15" thickBot="1" x14ac:dyDescent="0.4">
      <c r="A83" s="30">
        <v>181400</v>
      </c>
      <c r="B83" s="7" t="str">
        <f>VLOOKUP(A83,Sheet2!A:F,1+'Balance sheet 2022.02'!C$1,FALSE)</f>
        <v>Receiv./ disp. invest. subsid, N-Current, Gross</v>
      </c>
      <c r="C83" s="8">
        <v>21312.68</v>
      </c>
      <c r="D83" s="9">
        <v>30264</v>
      </c>
    </row>
    <row r="84" spans="1:4" ht="15" thickBot="1" x14ac:dyDescent="0.4">
      <c r="A84" s="30">
        <v>181500</v>
      </c>
      <c r="B84" s="7" t="str">
        <f>VLOOKUP(A84,Sheet2!A:F,1+'Balance sheet 2022.02'!C$1,FALSE)</f>
        <v>Receiv. / disp. Inv. oth entities, N-Current, GV</v>
      </c>
      <c r="C84" s="8">
        <v>4352.1099999999997</v>
      </c>
      <c r="D84" s="9">
        <v>6180</v>
      </c>
    </row>
    <row r="85" spans="1:4" ht="15" thickBot="1" x14ac:dyDescent="0.4">
      <c r="A85" s="30">
        <v>181600</v>
      </c>
      <c r="B85" s="7" t="str">
        <f>VLOOKUP(A85,Sheet2!A:F,1+'Balance sheet 2022.02'!C$1,FALSE)</f>
        <v>Receiv. /disp. Inv. oth assets, N-Current, Gross</v>
      </c>
      <c r="C85" s="8">
        <v>5104.22</v>
      </c>
      <c r="D85" s="9">
        <v>7248</v>
      </c>
    </row>
    <row r="86" spans="1:4" ht="15" thickBot="1" x14ac:dyDescent="0.4">
      <c r="A86" s="30">
        <v>181800</v>
      </c>
      <c r="B86" s="7" t="str">
        <f>VLOOKUP(A86,Sheet2!A:F,1+'Balance sheet 2022.02'!C$1,FALSE)</f>
        <v>Other receivables, Non-current, Gross</v>
      </c>
      <c r="C86" s="8">
        <v>198118.31</v>
      </c>
      <c r="D86" s="9">
        <v>281328</v>
      </c>
    </row>
    <row r="87" spans="1:4" ht="15" thickBot="1" x14ac:dyDescent="0.4">
      <c r="A87" s="30">
        <v>181890</v>
      </c>
      <c r="B87" s="7" t="str">
        <f>VLOOKUP(A87,Sheet2!A:F,1+'Balance sheet 2022.02'!C$1,FALSE)</f>
        <v>Receivables, Non-current, Allowance</v>
      </c>
      <c r="C87" s="8">
        <v>-16811.27</v>
      </c>
      <c r="D87" s="9">
        <v>-23872</v>
      </c>
    </row>
    <row r="88" spans="1:4" ht="15" thickBot="1" x14ac:dyDescent="0.4">
      <c r="A88" s="12" t="s">
        <v>65</v>
      </c>
      <c r="B88" s="7" t="str">
        <f>VLOOKUP(A88,Sheet2!A:F,1+'Balance sheet 2022.02'!C$1,FALSE)</f>
        <v>Non-current receivables</v>
      </c>
      <c r="C88" s="8">
        <v>462830.13</v>
      </c>
      <c r="D88" s="9">
        <v>657218.93000000005</v>
      </c>
    </row>
    <row r="89" spans="1:4" ht="15" thickBot="1" x14ac:dyDescent="0.4">
      <c r="A89" s="30">
        <v>182100</v>
      </c>
      <c r="B89" s="7" t="str">
        <f>VLOOKUP(A89,Sheet2!A:F,1+'Balance sheet 2022.02'!C$1,FALSE)</f>
        <v>Deferred tax assets</v>
      </c>
      <c r="C89" s="8">
        <v>700</v>
      </c>
      <c r="D89" s="9">
        <v>975.45</v>
      </c>
    </row>
    <row r="90" spans="1:4" ht="15" thickBot="1" x14ac:dyDescent="0.4">
      <c r="A90" s="12" t="s">
        <v>66</v>
      </c>
      <c r="B90" s="7" t="str">
        <f>VLOOKUP(A90,Sheet2!A:F,1+'Balance sheet 2022.02'!C$1,FALSE)</f>
        <v>Deferred tax assets</v>
      </c>
      <c r="C90" s="8">
        <v>700</v>
      </c>
      <c r="D90" s="9">
        <v>975.45</v>
      </c>
    </row>
    <row r="91" spans="1:4" ht="15" thickBot="1" x14ac:dyDescent="0.4">
      <c r="A91" s="11" t="s">
        <v>67</v>
      </c>
      <c r="B91" s="7" t="str">
        <f>VLOOKUP(A91,Sheet2!A:F,1+'Balance sheet 2022.02'!C$1,FALSE)</f>
        <v>Non Current assets</v>
      </c>
      <c r="C91" s="8">
        <v>21937359.890000001</v>
      </c>
      <c r="D91" s="9">
        <v>31150993.719999999</v>
      </c>
    </row>
    <row r="92" spans="1:4" ht="15" thickBot="1" x14ac:dyDescent="0.4">
      <c r="A92" s="10" t="s">
        <v>68</v>
      </c>
      <c r="B92" s="7" t="str">
        <f>VLOOKUP(A92,Sheet2!A:F,1+'Balance sheet 2022.02'!C$1,FALSE)</f>
        <v>Assets</v>
      </c>
      <c r="C92" s="8">
        <v>94737278.260000005</v>
      </c>
      <c r="D92" s="9">
        <v>134526934.49000001</v>
      </c>
    </row>
    <row r="93" spans="1:4" ht="15" thickBot="1" x14ac:dyDescent="0.4">
      <c r="A93" s="31">
        <v>211100</v>
      </c>
      <c r="B93" s="7" t="str">
        <f>VLOOKUP(A93,Sheet2!A:F,1+'Balance sheet 2022.02'!C$1,FALSE)</f>
        <v>Trade payables</v>
      </c>
      <c r="C93" s="8">
        <v>27537863.920000002</v>
      </c>
      <c r="D93" s="9">
        <v>39103790.460000001</v>
      </c>
    </row>
    <row r="94" spans="1:4" ht="15" thickBot="1" x14ac:dyDescent="0.4">
      <c r="A94" s="15" t="s">
        <v>13</v>
      </c>
      <c r="B94" s="7" t="str">
        <f>VLOOKUP(A94,Sheet2!A:F,1+'Balance sheet 2022.02'!C$1,FALSE)</f>
        <v>Clearing account - Trade Rec/Pay, Current</v>
      </c>
      <c r="C94" s="8">
        <v>0.16</v>
      </c>
      <c r="D94" s="9">
        <v>0.24</v>
      </c>
    </row>
    <row r="95" spans="1:4" ht="15" thickBot="1" x14ac:dyDescent="0.4">
      <c r="A95" s="31">
        <v>211200</v>
      </c>
      <c r="B95" s="7" t="str">
        <f>VLOOKUP(A95,Sheet2!A:F,1+'Balance sheet 2022.02'!C$1,FALSE)</f>
        <v>Debts on purchase of PPE, Current</v>
      </c>
      <c r="C95" s="8">
        <v>2011.26</v>
      </c>
      <c r="D95" s="9">
        <v>2856</v>
      </c>
    </row>
    <row r="96" spans="1:4" ht="15" thickBot="1" x14ac:dyDescent="0.4">
      <c r="A96" s="31">
        <v>211300</v>
      </c>
      <c r="B96" s="7" t="str">
        <f>VLOOKUP(A96,Sheet2!A:F,1+'Balance sheet 2022.02'!C$1,FALSE)</f>
        <v>Debts on purchase of intangible assets, Current</v>
      </c>
      <c r="C96" s="8">
        <v>4923.38</v>
      </c>
      <c r="D96" s="9">
        <v>6991.2</v>
      </c>
    </row>
    <row r="97" spans="1:4" ht="15" thickBot="1" x14ac:dyDescent="0.4">
      <c r="A97" s="31">
        <v>211400</v>
      </c>
      <c r="B97" s="7" t="str">
        <f>VLOOKUP(A97,Sheet2!A:F,1+'Balance sheet 2022.02'!C$1,FALSE)</f>
        <v>Debts on purchase of inv. in subs., Current</v>
      </c>
      <c r="C97" s="8">
        <v>2822.54</v>
      </c>
      <c r="D97" s="9">
        <v>4008</v>
      </c>
    </row>
    <row r="98" spans="1:4" ht="15" thickBot="1" x14ac:dyDescent="0.4">
      <c r="A98" s="31">
        <v>211500</v>
      </c>
      <c r="B98" s="7" t="str">
        <f>VLOOKUP(A98,Sheet2!A:F,1+'Balance sheet 2022.02'!C$1,FALSE)</f>
        <v>Debts on purchase / inv. in oth. entities, Current</v>
      </c>
      <c r="C98" s="8">
        <v>2552.11</v>
      </c>
      <c r="D98" s="9">
        <v>3624</v>
      </c>
    </row>
    <row r="99" spans="1:4" ht="15" thickBot="1" x14ac:dyDescent="0.4">
      <c r="A99" s="31">
        <v>211600</v>
      </c>
      <c r="B99" s="7" t="str">
        <f>VLOOKUP(A99,Sheet2!A:F,1+'Balance sheet 2022.02'!C$1,FALSE)</f>
        <v>Debts on purchase of inv / other assets, Current</v>
      </c>
      <c r="C99" s="8">
        <v>1771.27</v>
      </c>
      <c r="D99" s="9">
        <v>2515.1999999999998</v>
      </c>
    </row>
    <row r="100" spans="1:4" ht="15" thickBot="1" x14ac:dyDescent="0.4">
      <c r="A100" s="31">
        <v>211700</v>
      </c>
      <c r="B100" s="7" t="str">
        <f>VLOOKUP(A100,Sheet2!A:F,1+'Balance sheet 2022.02'!C$1,FALSE)</f>
        <v>Dividends payable</v>
      </c>
      <c r="C100" s="8">
        <v>3542.53</v>
      </c>
      <c r="D100" s="9">
        <v>5030.3999999999996</v>
      </c>
    </row>
    <row r="101" spans="1:4" ht="15" thickBot="1" x14ac:dyDescent="0.4">
      <c r="A101" s="15" t="s">
        <v>14</v>
      </c>
      <c r="B101" s="7" t="str">
        <f>VLOOKUP(A101,Sheet2!A:F,1+'Balance sheet 2022.02'!C$1,FALSE)</f>
        <v>Clearing - Dividends rec/pay, Current</v>
      </c>
      <c r="C101" s="8">
        <v>0</v>
      </c>
      <c r="D101" s="9">
        <v>0</v>
      </c>
    </row>
    <row r="102" spans="1:4" ht="15" thickBot="1" x14ac:dyDescent="0.4">
      <c r="A102" s="31">
        <v>211800</v>
      </c>
      <c r="B102" s="7" t="str">
        <f>VLOOKUP(A102,Sheet2!A:F,1+'Balance sheet 2022.02'!C$1,FALSE)</f>
        <v>Other payables, Current</v>
      </c>
      <c r="C102" s="8">
        <v>281780.81</v>
      </c>
      <c r="D102" s="9">
        <v>400128.96</v>
      </c>
    </row>
    <row r="103" spans="1:4" ht="15" thickBot="1" x14ac:dyDescent="0.4">
      <c r="A103" s="31">
        <v>211900</v>
      </c>
      <c r="B103" s="7" t="str">
        <f>VLOOKUP(A103,Sheet2!A:F,1+'Balance sheet 2022.02'!C$1,FALSE)</f>
        <v>Accrued interests on financial liab./ payables</v>
      </c>
      <c r="C103" s="8">
        <v>11648.45</v>
      </c>
      <c r="D103" s="9">
        <v>16540.8</v>
      </c>
    </row>
    <row r="104" spans="1:4" ht="15" thickBot="1" x14ac:dyDescent="0.4">
      <c r="A104" s="15" t="s">
        <v>12</v>
      </c>
      <c r="B104" s="7" t="str">
        <f>VLOOKUP(A104,Sheet2!A:F,1+'Balance sheet 2022.02'!C$1,FALSE)</f>
        <v>Clearing account - Receivables/payables, Current</v>
      </c>
      <c r="C104" s="8">
        <v>0</v>
      </c>
      <c r="D104" s="9">
        <v>0</v>
      </c>
    </row>
    <row r="105" spans="1:4" ht="15" thickBot="1" x14ac:dyDescent="0.4">
      <c r="A105" s="14" t="s">
        <v>69</v>
      </c>
      <c r="B105" s="7" t="str">
        <f>VLOOKUP(A105,Sheet2!A:F,1+'Balance sheet 2022.02'!C$1,FALSE)</f>
        <v>Trade and other current payables</v>
      </c>
      <c r="C105" s="8">
        <v>27848916.43</v>
      </c>
      <c r="D105" s="9">
        <v>39545485.259999998</v>
      </c>
    </row>
    <row r="106" spans="1:4" ht="15" thickBot="1" x14ac:dyDescent="0.4">
      <c r="A106" s="31">
        <v>213000</v>
      </c>
      <c r="B106" s="7" t="str">
        <f>VLOOKUP(A106,Sheet2!A:F,1+'Balance sheet 2022.02'!C$1,FALSE)</f>
        <v>Current income tax liabilities</v>
      </c>
      <c r="C106" s="8">
        <v>4288988.09</v>
      </c>
      <c r="D106" s="9">
        <v>6090366.0800000001</v>
      </c>
    </row>
    <row r="107" spans="1:4" ht="15" thickBot="1" x14ac:dyDescent="0.4">
      <c r="A107" s="14" t="s">
        <v>70</v>
      </c>
      <c r="B107" s="7" t="str">
        <f>VLOOKUP(A107,Sheet2!A:F,1+'Balance sheet 2022.02'!C$1,FALSE)</f>
        <v>Current tax liabilities</v>
      </c>
      <c r="C107" s="8">
        <v>4288988.09</v>
      </c>
      <c r="D107" s="9">
        <v>6090366.0800000001</v>
      </c>
    </row>
    <row r="108" spans="1:4" ht="15" thickBot="1" x14ac:dyDescent="0.4">
      <c r="A108" s="31">
        <v>214100</v>
      </c>
      <c r="B108" s="7" t="str">
        <f>VLOOKUP(A108,Sheet2!A:F,1+'Balance sheet 2022.02'!C$1,FALSE)</f>
        <v>Deferred income</v>
      </c>
      <c r="C108" s="8">
        <v>39586.589999999997</v>
      </c>
      <c r="D108" s="9">
        <v>56212.99</v>
      </c>
    </row>
    <row r="109" spans="1:4" ht="15" thickBot="1" x14ac:dyDescent="0.4">
      <c r="A109" s="14" t="s">
        <v>71</v>
      </c>
      <c r="B109" s="7" t="str">
        <f>VLOOKUP(A109,Sheet2!A:F,1+'Balance sheet 2022.02'!C$1,FALSE)</f>
        <v>Other current liabilities</v>
      </c>
      <c r="C109" s="8">
        <v>39586.589999999997</v>
      </c>
      <c r="D109" s="9">
        <v>56212.99</v>
      </c>
    </row>
    <row r="110" spans="1:4" ht="15" thickBot="1" x14ac:dyDescent="0.4">
      <c r="A110" s="31">
        <v>221100</v>
      </c>
      <c r="B110" s="7" t="str">
        <f>VLOOKUP(A110,Sheet2!A:F,1+'Balance sheet 2022.02'!C$1,FALSE)</f>
        <v>Borrowings, Current</v>
      </c>
      <c r="C110" s="8">
        <v>496960.79</v>
      </c>
      <c r="D110" s="9">
        <v>705684.69</v>
      </c>
    </row>
    <row r="111" spans="1:4" ht="15" thickBot="1" x14ac:dyDescent="0.4">
      <c r="A111" s="31">
        <v>221200</v>
      </c>
      <c r="B111" s="7" t="str">
        <f>VLOOKUP(A111,Sheet2!A:F,1+'Balance sheet 2022.02'!C$1,FALSE)</f>
        <v>Finance leases, Current</v>
      </c>
      <c r="C111" s="8">
        <v>48332.4</v>
      </c>
      <c r="D111" s="9">
        <v>68632</v>
      </c>
    </row>
    <row r="112" spans="1:4" ht="15" thickBot="1" x14ac:dyDescent="0.4">
      <c r="A112" s="31">
        <v>221500</v>
      </c>
      <c r="B112" s="7" t="str">
        <f>VLOOKUP(A112,Sheet2!A:F,1+'Balance sheet 2022.02'!C$1,FALSE)</f>
        <v>Bank overdrafts, classified as cash equivalents</v>
      </c>
      <c r="C112" s="8">
        <v>1720475.56</v>
      </c>
      <c r="D112" s="9">
        <v>2443076.89</v>
      </c>
    </row>
    <row r="113" spans="1:4" ht="15" thickBot="1" x14ac:dyDescent="0.4">
      <c r="A113" s="31">
        <v>221600</v>
      </c>
      <c r="B113" s="7" t="str">
        <f>VLOOKUP(A113,Sheet2!A:F,1+'Balance sheet 2022.02'!C$1,FALSE)</f>
        <v>Other financial liabilities, Current</v>
      </c>
      <c r="C113" s="8">
        <v>0</v>
      </c>
      <c r="D113" s="9">
        <v>0</v>
      </c>
    </row>
    <row r="114" spans="1:4" ht="15" thickBot="1" x14ac:dyDescent="0.4">
      <c r="A114" s="15" t="s">
        <v>15</v>
      </c>
      <c r="B114" s="7" t="str">
        <f>VLOOKUP(A114,Sheet2!A:F,1+'Balance sheet 2022.02'!C$1,FALSE)</f>
        <v>Clearing account - Financial assets/liab, Current</v>
      </c>
      <c r="C114" s="8">
        <v>0.06</v>
      </c>
      <c r="D114" s="9">
        <v>0.08</v>
      </c>
    </row>
    <row r="115" spans="1:4" ht="15" thickBot="1" x14ac:dyDescent="0.4">
      <c r="A115" s="14" t="s">
        <v>72</v>
      </c>
      <c r="B115" s="7" t="str">
        <f>VLOOKUP(A115,Sheet2!A:F,1+'Balance sheet 2022.02'!C$1,FALSE)</f>
        <v>Other current financial liabilities</v>
      </c>
      <c r="C115" s="8">
        <v>2265768.81</v>
      </c>
      <c r="D115" s="9">
        <v>3217393.66</v>
      </c>
    </row>
    <row r="116" spans="1:4" ht="15" thickBot="1" x14ac:dyDescent="0.4">
      <c r="A116" s="31">
        <v>241100</v>
      </c>
      <c r="B116" s="7" t="str">
        <f>VLOOKUP(A116,Sheet2!A:F,1+'Balance sheet 2022.02'!C$1,FALSE)</f>
        <v>Provisions for employee benefits, Current</v>
      </c>
      <c r="C116" s="8">
        <v>40247.410000000003</v>
      </c>
      <c r="D116" s="9">
        <v>57151.35</v>
      </c>
    </row>
    <row r="117" spans="1:4" ht="15" thickBot="1" x14ac:dyDescent="0.4">
      <c r="A117" s="14" t="s">
        <v>73</v>
      </c>
      <c r="B117" s="7" t="str">
        <f>VLOOKUP(A117,Sheet2!A:F,1+'Balance sheet 2022.02'!C$1,FALSE)</f>
        <v>Current provisions for employee benefits</v>
      </c>
      <c r="C117" s="8">
        <v>40247.410000000003</v>
      </c>
      <c r="D117" s="9">
        <v>57151.35</v>
      </c>
    </row>
    <row r="118" spans="1:4" ht="15" thickBot="1" x14ac:dyDescent="0.4">
      <c r="A118" s="31">
        <v>242100</v>
      </c>
      <c r="B118" s="7" t="str">
        <f>VLOOKUP(A118,Sheet2!A:F,1+'Balance sheet 2022.02'!C$1,FALSE)</f>
        <v>Warranty provision, Current</v>
      </c>
      <c r="C118" s="8">
        <v>12387.32</v>
      </c>
      <c r="D118" s="9">
        <v>17590</v>
      </c>
    </row>
    <row r="119" spans="1:4" ht="15" thickBot="1" x14ac:dyDescent="0.4">
      <c r="A119" s="31">
        <v>242200</v>
      </c>
      <c r="B119" s="7" t="str">
        <f>VLOOKUP(A119,Sheet2!A:F,1+'Balance sheet 2022.02'!C$1,FALSE)</f>
        <v>Restructuring provision, Current</v>
      </c>
      <c r="C119" s="8">
        <v>9152.11</v>
      </c>
      <c r="D119" s="9">
        <v>12996</v>
      </c>
    </row>
    <row r="120" spans="1:4" ht="15" thickBot="1" x14ac:dyDescent="0.4">
      <c r="A120" s="31">
        <v>242400</v>
      </c>
      <c r="B120" s="7" t="str">
        <f>VLOOKUP(A120,Sheet2!A:F,1+'Balance sheet 2022.02'!C$1,FALSE)</f>
        <v>Onerous contracts provision, Current</v>
      </c>
      <c r="C120" s="8">
        <v>175739.27</v>
      </c>
      <c r="D120" s="9">
        <v>249549.9</v>
      </c>
    </row>
    <row r="121" spans="1:4" ht="15" thickBot="1" x14ac:dyDescent="0.4">
      <c r="A121" s="31">
        <v>242500</v>
      </c>
      <c r="B121" s="7" t="str">
        <f>VLOOKUP(A121,Sheet2!A:F,1+'Balance sheet 2022.02'!C$1,FALSE)</f>
        <v>Prov - decommission/restor/rehab. costs, Current</v>
      </c>
      <c r="C121" s="8">
        <v>15760.56</v>
      </c>
      <c r="D121" s="9">
        <v>22380</v>
      </c>
    </row>
    <row r="122" spans="1:4" ht="15" thickBot="1" x14ac:dyDescent="0.4">
      <c r="A122" s="31">
        <v>242600</v>
      </c>
      <c r="B122" s="7" t="str">
        <f>VLOOKUP(A122,Sheet2!A:F,1+'Balance sheet 2022.02'!C$1,FALSE)</f>
        <v>Miscellaneous provisions, Current</v>
      </c>
      <c r="C122" s="8">
        <v>1368725.21</v>
      </c>
      <c r="D122" s="9">
        <v>1943590.81</v>
      </c>
    </row>
    <row r="123" spans="1:4" ht="15" thickBot="1" x14ac:dyDescent="0.4">
      <c r="A123" s="14" t="s">
        <v>74</v>
      </c>
      <c r="B123" s="7" t="str">
        <f>VLOOKUP(A123,Sheet2!A:F,1+'Balance sheet 2022.02'!C$1,FALSE)</f>
        <v>Other short-term provisions</v>
      </c>
      <c r="C123" s="8">
        <v>1581764.47</v>
      </c>
      <c r="D123" s="9">
        <v>2246106.71</v>
      </c>
    </row>
    <row r="124" spans="1:4" ht="15" thickBot="1" x14ac:dyDescent="0.4">
      <c r="A124" s="13" t="s">
        <v>75</v>
      </c>
      <c r="B124" s="7" t="str">
        <f>VLOOKUP(A124,Sheet2!A:F,1+'Balance sheet 2022.02'!C$1,FALSE)</f>
        <v>Current liab oth.than incl.in disposal groups</v>
      </c>
      <c r="C124" s="8">
        <v>36065271.799999997</v>
      </c>
      <c r="D124" s="9">
        <v>51212716.049999997</v>
      </c>
    </row>
    <row r="125" spans="1:4" ht="15" thickBot="1" x14ac:dyDescent="0.4">
      <c r="A125" s="29">
        <v>251000</v>
      </c>
      <c r="B125" s="7" t="str">
        <f>VLOOKUP(A125,Sheet2!A:F,1+'Balance sheet 2022.02'!C$1,FALSE)</f>
        <v>Liabilities included in disposal groups  HFS</v>
      </c>
      <c r="C125" s="8">
        <v>1000</v>
      </c>
      <c r="D125" s="9">
        <v>1420</v>
      </c>
    </row>
    <row r="126" spans="1:4" ht="15" thickBot="1" x14ac:dyDescent="0.4">
      <c r="A126" s="13" t="s">
        <v>76</v>
      </c>
      <c r="B126" s="7" t="str">
        <f>VLOOKUP(A126,Sheet2!A:F,1+'Balance sheet 2022.02'!C$1,FALSE)</f>
        <v>Liabilities included in disposal groups HFS</v>
      </c>
      <c r="C126" s="8">
        <v>1000</v>
      </c>
      <c r="D126" s="9">
        <v>1420</v>
      </c>
    </row>
    <row r="127" spans="1:4" ht="15" thickBot="1" x14ac:dyDescent="0.4">
      <c r="A127" s="12" t="s">
        <v>77</v>
      </c>
      <c r="B127" s="7" t="str">
        <f>VLOOKUP(A127,Sheet2!A:F,1+'Balance sheet 2022.02'!C$1,FALSE)</f>
        <v>Current liabilities</v>
      </c>
      <c r="C127" s="8">
        <v>36066271.799999997</v>
      </c>
      <c r="D127" s="9">
        <v>51214136.049999997</v>
      </c>
    </row>
    <row r="128" spans="1:4" ht="15" thickBot="1" x14ac:dyDescent="0.4">
      <c r="A128" s="29">
        <v>261100</v>
      </c>
      <c r="B128" s="7" t="str">
        <f>VLOOKUP(A128,Sheet2!A:F,1+'Balance sheet 2022.02'!C$1,FALSE)</f>
        <v>Provisions for employee benefits, Non-current</v>
      </c>
      <c r="C128" s="8">
        <v>6176603.6699999999</v>
      </c>
      <c r="D128" s="9">
        <v>8770781.7599999998</v>
      </c>
    </row>
    <row r="129" spans="1:4" ht="15" thickBot="1" x14ac:dyDescent="0.4">
      <c r="A129" s="13" t="s">
        <v>78</v>
      </c>
      <c r="B129" s="7" t="str">
        <f>VLOOKUP(A129,Sheet2!A:F,1+'Balance sheet 2022.02'!C$1,FALSE)</f>
        <v>Non-current provisions for employee benefits</v>
      </c>
      <c r="C129" s="8">
        <v>6176603.6699999999</v>
      </c>
      <c r="D129" s="9">
        <v>8770781.7599999998</v>
      </c>
    </row>
    <row r="130" spans="1:4" ht="15" thickBot="1" x14ac:dyDescent="0.4">
      <c r="A130" s="29">
        <v>262100</v>
      </c>
      <c r="B130" s="7" t="str">
        <f>VLOOKUP(A130,Sheet2!A:F,1+'Balance sheet 2022.02'!C$1,FALSE)</f>
        <v>Warranty provision, Non-current</v>
      </c>
      <c r="C130" s="8">
        <v>79668.009999999995</v>
      </c>
      <c r="D130" s="9">
        <v>113128.65</v>
      </c>
    </row>
    <row r="131" spans="1:4" ht="15" thickBot="1" x14ac:dyDescent="0.4">
      <c r="A131" s="29">
        <v>262200</v>
      </c>
      <c r="B131" s="7" t="str">
        <f>VLOOKUP(A131,Sheet2!A:F,1+'Balance sheet 2022.02'!C$1,FALSE)</f>
        <v>Restructuring provision, Non-current</v>
      </c>
      <c r="C131" s="8">
        <v>13133.8</v>
      </c>
      <c r="D131" s="9">
        <v>18650</v>
      </c>
    </row>
    <row r="132" spans="1:4" ht="15" thickBot="1" x14ac:dyDescent="0.4">
      <c r="A132" s="29">
        <v>262400</v>
      </c>
      <c r="B132" s="7" t="str">
        <f>VLOOKUP(A132,Sheet2!A:F,1+'Balance sheet 2022.02'!C$1,FALSE)</f>
        <v>Onerous contracts provision, Non-current</v>
      </c>
      <c r="C132" s="8">
        <v>3940.14</v>
      </c>
      <c r="D132" s="9">
        <v>5595</v>
      </c>
    </row>
    <row r="133" spans="1:4" ht="15" thickBot="1" x14ac:dyDescent="0.4">
      <c r="A133" s="29">
        <v>262500</v>
      </c>
      <c r="B133" s="7" t="str">
        <f>VLOOKUP(A133,Sheet2!A:F,1+'Balance sheet 2022.02'!C$1,FALSE)</f>
        <v>Prov - decommission/restor/rehab. costs, N-Current</v>
      </c>
      <c r="C133" s="8">
        <v>13133.8</v>
      </c>
      <c r="D133" s="9">
        <v>18650</v>
      </c>
    </row>
    <row r="134" spans="1:4" ht="15" thickBot="1" x14ac:dyDescent="0.4">
      <c r="A134" s="29">
        <v>262600</v>
      </c>
      <c r="B134" s="7" t="str">
        <f>VLOOKUP(A134,Sheet2!A:F,1+'Balance sheet 2022.02'!C$1,FALSE)</f>
        <v>Miscellaneous provisions, Non-current</v>
      </c>
      <c r="C134" s="8">
        <v>1445121.66</v>
      </c>
      <c r="D134" s="9">
        <v>2052073.81</v>
      </c>
    </row>
    <row r="135" spans="1:4" ht="15" thickBot="1" x14ac:dyDescent="0.4">
      <c r="A135" s="13" t="s">
        <v>79</v>
      </c>
      <c r="B135" s="7" t="str">
        <f>VLOOKUP(A135,Sheet2!A:F,1+'Balance sheet 2022.02'!C$1,FALSE)</f>
        <v>Other long-term provisions</v>
      </c>
      <c r="C135" s="8">
        <v>1554997.41</v>
      </c>
      <c r="D135" s="9">
        <v>2208097.46</v>
      </c>
    </row>
    <row r="136" spans="1:4" ht="15" thickBot="1" x14ac:dyDescent="0.4">
      <c r="A136" s="29">
        <v>271100</v>
      </c>
      <c r="B136" s="7" t="str">
        <f>VLOOKUP(A136,Sheet2!A:F,1+'Balance sheet 2022.02'!C$1,FALSE)</f>
        <v>Borrowings, Non-current</v>
      </c>
      <c r="C136" s="8">
        <v>8543877.6899999995</v>
      </c>
      <c r="D136" s="9">
        <v>12132312.720000001</v>
      </c>
    </row>
    <row r="137" spans="1:4" ht="15" thickBot="1" x14ac:dyDescent="0.4">
      <c r="A137" s="29">
        <v>271300</v>
      </c>
      <c r="B137" s="7" t="str">
        <f>VLOOKUP(A137,Sheet2!A:F,1+'Balance sheet 2022.02'!C$1,FALSE)</f>
        <v>Convertible bonds, Non-current</v>
      </c>
      <c r="C137" s="8">
        <v>158531</v>
      </c>
      <c r="D137" s="9">
        <v>225114.02</v>
      </c>
    </row>
    <row r="138" spans="1:4" ht="15" thickBot="1" x14ac:dyDescent="0.4">
      <c r="A138" s="29">
        <v>271500</v>
      </c>
      <c r="B138" s="7" t="str">
        <f>VLOOKUP(A138,Sheet2!A:F,1+'Balance sheet 2022.02'!C$1,FALSE)</f>
        <v>Other financial liabilities, Non-current</v>
      </c>
      <c r="C138" s="8">
        <v>1026</v>
      </c>
      <c r="D138" s="9">
        <v>1456.92</v>
      </c>
    </row>
    <row r="139" spans="1:4" ht="15" thickBot="1" x14ac:dyDescent="0.4">
      <c r="A139" s="14" t="s">
        <v>49</v>
      </c>
      <c r="B139" s="7" t="str">
        <f>VLOOKUP(A139,Sheet2!A:F,1+'Balance sheet 2022.02'!C$1,FALSE)</f>
        <v>Clearing account - Financial assets/liab, N-Curr</v>
      </c>
      <c r="C139" s="8">
        <v>-0.08</v>
      </c>
      <c r="D139" s="9">
        <v>-0.12</v>
      </c>
    </row>
    <row r="140" spans="1:4" ht="15" thickBot="1" x14ac:dyDescent="0.4">
      <c r="A140" s="13" t="s">
        <v>80</v>
      </c>
      <c r="B140" s="7" t="str">
        <f>VLOOKUP(A140,Sheet2!A:F,1+'Balance sheet 2022.02'!C$1,FALSE)</f>
        <v>Other non-current financial liabilities</v>
      </c>
      <c r="C140" s="8">
        <v>8703434.6099999994</v>
      </c>
      <c r="D140" s="9">
        <v>12358883.539999999</v>
      </c>
    </row>
    <row r="141" spans="1:4" ht="15" thickBot="1" x14ac:dyDescent="0.4">
      <c r="A141" s="29">
        <v>281100</v>
      </c>
      <c r="B141" s="7" t="str">
        <f>VLOOKUP(A141,Sheet2!A:F,1+'Balance sheet 2022.02'!C$1,FALSE)</f>
        <v>Debts on purchase of PPE, N-Current</v>
      </c>
      <c r="C141" s="8">
        <v>2244.08</v>
      </c>
      <c r="D141" s="9">
        <v>3186.6</v>
      </c>
    </row>
    <row r="142" spans="1:4" ht="15" thickBot="1" x14ac:dyDescent="0.4">
      <c r="A142" s="29">
        <v>281200</v>
      </c>
      <c r="B142" s="7" t="str">
        <f>VLOOKUP(A142,Sheet2!A:F,1+'Balance sheet 2022.02'!C$1,FALSE)</f>
        <v>Debts on purchase of intangible assets, N-Current</v>
      </c>
      <c r="C142" s="8">
        <v>1260.8399999999999</v>
      </c>
      <c r="D142" s="9">
        <v>1790.4</v>
      </c>
    </row>
    <row r="143" spans="1:4" ht="15" thickBot="1" x14ac:dyDescent="0.4">
      <c r="A143" s="29">
        <v>281300</v>
      </c>
      <c r="B143" s="7" t="str">
        <f>VLOOKUP(A143,Sheet2!A:F,1+'Balance sheet 2022.02'!C$1,FALSE)</f>
        <v>Debts on purchase of inv. in subs., N-Current</v>
      </c>
      <c r="C143" s="8">
        <v>375.21</v>
      </c>
      <c r="D143" s="9">
        <v>532.79999999999995</v>
      </c>
    </row>
    <row r="144" spans="1:4" ht="15" thickBot="1" x14ac:dyDescent="0.4">
      <c r="A144" s="29">
        <v>281400</v>
      </c>
      <c r="B144" s="7" t="str">
        <f>VLOOKUP(A144,Sheet2!A:F,1+'Balance sheet 2022.02'!C$1,FALSE)</f>
        <v>Debts on purchase / inv. in oth. entities, N-Curr</v>
      </c>
      <c r="C144" s="8">
        <v>630.41999999999996</v>
      </c>
      <c r="D144" s="9">
        <v>895.2</v>
      </c>
    </row>
    <row r="145" spans="1:4" ht="15" thickBot="1" x14ac:dyDescent="0.4">
      <c r="A145" s="29">
        <v>281500</v>
      </c>
      <c r="B145" s="7" t="str">
        <f>VLOOKUP(A145,Sheet2!A:F,1+'Balance sheet 2022.02'!C$1,FALSE)</f>
        <v>Debts on purchase of inv / other assets, N-Current</v>
      </c>
      <c r="C145" s="8">
        <v>435.21</v>
      </c>
      <c r="D145" s="9">
        <v>618</v>
      </c>
    </row>
    <row r="146" spans="1:4" ht="15" thickBot="1" x14ac:dyDescent="0.4">
      <c r="A146" s="29">
        <v>281600</v>
      </c>
      <c r="B146" s="7" t="str">
        <f>VLOOKUP(A146,Sheet2!A:F,1+'Balance sheet 2022.02'!C$1,FALSE)</f>
        <v>Other payables, Non-current</v>
      </c>
      <c r="C146" s="8">
        <v>12274.22</v>
      </c>
      <c r="D146" s="9">
        <v>17429.400000000001</v>
      </c>
    </row>
    <row r="147" spans="1:4" ht="15" thickBot="1" x14ac:dyDescent="0.4">
      <c r="A147" s="14" t="s">
        <v>16</v>
      </c>
      <c r="B147" s="7" t="str">
        <f>VLOOKUP(A147,Sheet2!A:F,1+'Balance sheet 2022.02'!C$1,FALSE)</f>
        <v>Clearing account - Receiv./payables, Non-current</v>
      </c>
      <c r="C147" s="8">
        <v>0.01</v>
      </c>
      <c r="D147" s="9">
        <v>0.02</v>
      </c>
    </row>
    <row r="148" spans="1:4" ht="15" thickBot="1" x14ac:dyDescent="0.4">
      <c r="A148" s="13" t="s">
        <v>81</v>
      </c>
      <c r="B148" s="7" t="str">
        <f>VLOOKUP(A148,Sheet2!A:F,1+'Balance sheet 2022.02'!C$1,FALSE)</f>
        <v>Non-current payables</v>
      </c>
      <c r="C148" s="8">
        <v>17219.990000000002</v>
      </c>
      <c r="D148" s="9">
        <v>24452.42</v>
      </c>
    </row>
    <row r="149" spans="1:4" ht="15" thickBot="1" x14ac:dyDescent="0.4">
      <c r="A149" s="29">
        <v>282100</v>
      </c>
      <c r="B149" s="7" t="str">
        <f>VLOOKUP(A149,Sheet2!A:F,1+'Balance sheet 2022.02'!C$1,FALSE)</f>
        <v>Deferred income tax liability</v>
      </c>
      <c r="C149" s="8">
        <v>127466.56</v>
      </c>
      <c r="D149" s="9">
        <v>181141.24</v>
      </c>
    </row>
    <row r="150" spans="1:4" ht="15" thickBot="1" x14ac:dyDescent="0.4">
      <c r="A150" s="13" t="s">
        <v>82</v>
      </c>
      <c r="B150" s="7" t="str">
        <f>VLOOKUP(A150,Sheet2!A:F,1+'Balance sheet 2022.02'!C$1,FALSE)</f>
        <v>Deferred tax liabilities</v>
      </c>
      <c r="C150" s="8">
        <v>127466.56</v>
      </c>
      <c r="D150" s="9">
        <v>181141.24</v>
      </c>
    </row>
    <row r="151" spans="1:4" ht="15" thickBot="1" x14ac:dyDescent="0.4">
      <c r="A151" s="12" t="s">
        <v>83</v>
      </c>
      <c r="B151" s="7" t="str">
        <f>VLOOKUP(A151,Sheet2!A:F,1+'Balance sheet 2022.02'!C$1,FALSE)</f>
        <v>Non-current liabilities</v>
      </c>
      <c r="C151" s="8">
        <v>16579722.24</v>
      </c>
      <c r="D151" s="9">
        <v>23543356.420000002</v>
      </c>
    </row>
    <row r="152" spans="1:4" ht="15" thickBot="1" x14ac:dyDescent="0.4">
      <c r="A152" s="11" t="s">
        <v>84</v>
      </c>
      <c r="B152" s="7" t="str">
        <f>VLOOKUP(A152,Sheet2!A:F,1+'Balance sheet 2022.02'!C$1,FALSE)</f>
        <v>Liabilities</v>
      </c>
      <c r="C152" s="8">
        <v>52645994.039999999</v>
      </c>
      <c r="D152" s="9">
        <v>74757492.469999999</v>
      </c>
    </row>
    <row r="153" spans="1:4" ht="15" thickBot="1" x14ac:dyDescent="0.4">
      <c r="A153" s="29">
        <v>311000</v>
      </c>
      <c r="B153" s="7" t="str">
        <f>VLOOKUP(A153,Sheet2!A:F,1+'Balance sheet 2022.02'!C$1,FALSE)</f>
        <v>Issued capital</v>
      </c>
      <c r="C153" s="8">
        <v>5550600</v>
      </c>
      <c r="D153" s="9">
        <v>8158847.3600000003</v>
      </c>
    </row>
    <row r="154" spans="1:4" ht="15" thickBot="1" x14ac:dyDescent="0.4">
      <c r="A154" s="13" t="s">
        <v>85</v>
      </c>
      <c r="B154" s="7" t="str">
        <f>VLOOKUP(A154,Sheet2!A:F,1+'Balance sheet 2022.02'!C$1,FALSE)</f>
        <v>Issued capital</v>
      </c>
      <c r="C154" s="8">
        <v>5550600</v>
      </c>
      <c r="D154" s="9">
        <v>8158847.3600000003</v>
      </c>
    </row>
    <row r="155" spans="1:4" ht="15" thickBot="1" x14ac:dyDescent="0.4">
      <c r="A155" s="29">
        <v>312000</v>
      </c>
      <c r="B155" s="7" t="str">
        <f>VLOOKUP(A155,Sheet2!A:F,1+'Balance sheet 2022.02'!C$1,FALSE)</f>
        <v>Share premium</v>
      </c>
      <c r="C155" s="8">
        <v>470000</v>
      </c>
      <c r="D155" s="9">
        <v>679587</v>
      </c>
    </row>
    <row r="156" spans="1:4" ht="15" thickBot="1" x14ac:dyDescent="0.4">
      <c r="A156" s="13" t="s">
        <v>86</v>
      </c>
      <c r="B156" s="7" t="str">
        <f>VLOOKUP(A156,Sheet2!A:F,1+'Balance sheet 2022.02'!C$1,FALSE)</f>
        <v>Share premium</v>
      </c>
      <c r="C156" s="8">
        <v>470000</v>
      </c>
      <c r="D156" s="9">
        <v>679587</v>
      </c>
    </row>
    <row r="157" spans="1:4" ht="15" thickBot="1" x14ac:dyDescent="0.4">
      <c r="A157" s="29">
        <v>313000</v>
      </c>
      <c r="B157" s="7" t="str">
        <f>VLOOKUP(A157,Sheet2!A:F,1+'Balance sheet 2022.02'!C$1,FALSE)</f>
        <v>Treasury shares</v>
      </c>
      <c r="C157" s="8">
        <v>-170000</v>
      </c>
      <c r="D157" s="9">
        <v>-248069.5</v>
      </c>
    </row>
    <row r="158" spans="1:4" ht="15" thickBot="1" x14ac:dyDescent="0.4">
      <c r="A158" s="13" t="s">
        <v>87</v>
      </c>
      <c r="B158" s="7" t="str">
        <f>VLOOKUP(A158,Sheet2!A:F,1+'Balance sheet 2022.02'!C$1,FALSE)</f>
        <v>Treasury shares</v>
      </c>
      <c r="C158" s="8">
        <v>-170000</v>
      </c>
      <c r="D158" s="9">
        <v>-248069.5</v>
      </c>
    </row>
    <row r="159" spans="1:4" ht="15" thickBot="1" x14ac:dyDescent="0.4">
      <c r="A159" s="29">
        <v>314000</v>
      </c>
      <c r="B159" s="7" t="str">
        <f>VLOOKUP(A159,Sheet2!A:F,1+'Balance sheet 2022.02'!C$1,FALSE)</f>
        <v>Revaluation surplus, before tax</v>
      </c>
      <c r="C159" s="8">
        <v>76230</v>
      </c>
      <c r="D159" s="9">
        <v>112076.78</v>
      </c>
    </row>
    <row r="160" spans="1:4" ht="15" thickBot="1" x14ac:dyDescent="0.4">
      <c r="A160" s="29">
        <v>314050</v>
      </c>
      <c r="B160" s="7" t="str">
        <f>VLOOKUP(A160,Sheet2!A:F,1+'Balance sheet 2022.02'!C$1,FALSE)</f>
        <v>Income tax on revaluation surplus</v>
      </c>
      <c r="C160" s="8">
        <v>-22190</v>
      </c>
      <c r="D160" s="9">
        <v>-32621.8</v>
      </c>
    </row>
    <row r="161" spans="1:4" ht="15" thickBot="1" x14ac:dyDescent="0.4">
      <c r="A161" s="29">
        <v>314100</v>
      </c>
      <c r="B161" s="7" t="str">
        <f>VLOOKUP(A161,Sheet2!A:F,1+'Balance sheet 2022.02'!C$1,FALSE)</f>
        <v>Remeasurements of defined benefit plans, bef. tax</v>
      </c>
      <c r="C161" s="8">
        <v>1008</v>
      </c>
      <c r="D161" s="9">
        <v>1644.7</v>
      </c>
    </row>
    <row r="162" spans="1:4" ht="15" thickBot="1" x14ac:dyDescent="0.4">
      <c r="A162" s="29">
        <v>314150</v>
      </c>
      <c r="B162" s="7" t="str">
        <f>VLOOKUP(A162,Sheet2!A:F,1+'Balance sheet 2022.02'!C$1,FALSE)</f>
        <v>Tax on remeasurements of defined benefit plans</v>
      </c>
      <c r="C162" s="8">
        <v>-350</v>
      </c>
      <c r="D162" s="9">
        <v>-622.92999999999995</v>
      </c>
    </row>
    <row r="163" spans="1:4" ht="15" thickBot="1" x14ac:dyDescent="0.4">
      <c r="A163" s="29">
        <v>314200</v>
      </c>
      <c r="B163" s="7" t="str">
        <f>VLOOKUP(A163,Sheet2!A:F,1+'Balance sheet 2022.02'!C$1,FALSE)</f>
        <v>Non-recyclable hedging reserve, before tax</v>
      </c>
      <c r="C163" s="8">
        <v>3500</v>
      </c>
      <c r="D163" s="9">
        <v>5147.1000000000004</v>
      </c>
    </row>
    <row r="164" spans="1:4" ht="15" thickBot="1" x14ac:dyDescent="0.4">
      <c r="A164" s="29">
        <v>314250</v>
      </c>
      <c r="B164" s="7" t="str">
        <f>VLOOKUP(A164,Sheet2!A:F,1+'Balance sheet 2022.02'!C$1,FALSE)</f>
        <v>Income tax on non-recyclable hedging reserve</v>
      </c>
      <c r="C164" s="8">
        <v>-2744</v>
      </c>
      <c r="D164" s="9">
        <v>-3952.22</v>
      </c>
    </row>
    <row r="165" spans="1:4" ht="15" thickBot="1" x14ac:dyDescent="0.4">
      <c r="A165" s="29">
        <v>314300</v>
      </c>
      <c r="B165" s="7" t="str">
        <f>VLOOKUP(A165,Sheet2!A:F,1+'Balance sheet 2022.02'!C$1,FALSE)</f>
        <v>Non-recyclable fair value reserve, before tax</v>
      </c>
      <c r="C165" s="8">
        <v>0</v>
      </c>
      <c r="D165" s="9">
        <v>0</v>
      </c>
    </row>
    <row r="166" spans="1:4" ht="15" thickBot="1" x14ac:dyDescent="0.4">
      <c r="A166" s="29">
        <v>314350</v>
      </c>
      <c r="B166" s="7" t="str">
        <f>VLOOKUP(A166,Sheet2!A:F,1+'Balance sheet 2022.02'!C$1,FALSE)</f>
        <v>Income tax on non-recyclable fair value reserve</v>
      </c>
      <c r="C166" s="8">
        <v>0</v>
      </c>
      <c r="D166" s="9">
        <v>0</v>
      </c>
    </row>
    <row r="167" spans="1:4" ht="15" thickBot="1" x14ac:dyDescent="0.4">
      <c r="A167" s="29">
        <v>314600</v>
      </c>
      <c r="B167" s="7" t="str">
        <f>VLOOKUP(A167,Sheet2!A:F,1+'Balance sheet 2022.02'!C$1,FALSE)</f>
        <v>Recyclable fair value reserve, before tax</v>
      </c>
      <c r="C167" s="8">
        <v>4850</v>
      </c>
      <c r="D167" s="9">
        <v>7213.58</v>
      </c>
    </row>
    <row r="168" spans="1:4" ht="15" thickBot="1" x14ac:dyDescent="0.4">
      <c r="A168" s="29">
        <v>314700</v>
      </c>
      <c r="B168" s="7" t="str">
        <f>VLOOKUP(A168,Sheet2!A:F,1+'Balance sheet 2022.02'!C$1,FALSE)</f>
        <v>Income tax on recyclable fair value reserve</v>
      </c>
      <c r="C168" s="8">
        <v>-1700</v>
      </c>
      <c r="D168" s="9">
        <v>-2554.12</v>
      </c>
    </row>
    <row r="169" spans="1:4" ht="15" thickBot="1" x14ac:dyDescent="0.4">
      <c r="A169" s="29">
        <v>314800</v>
      </c>
      <c r="B169" s="7" t="str">
        <f>VLOOKUP(A169,Sheet2!A:F,1+'Balance sheet 2022.02'!C$1,FALSE)</f>
        <v>Foreign currency translation reserve, before tax</v>
      </c>
      <c r="C169" s="8">
        <v>-4410130.3099999996</v>
      </c>
      <c r="D169" s="9">
        <v>-7943738.0999999996</v>
      </c>
    </row>
    <row r="170" spans="1:4" ht="15" thickBot="1" x14ac:dyDescent="0.4">
      <c r="A170" s="29">
        <v>315000</v>
      </c>
      <c r="B170" s="7" t="str">
        <f>VLOOKUP(A170,Sheet2!A:F,1+'Balance sheet 2022.02'!C$1,FALSE)</f>
        <v>Equity component of compound financial instruments</v>
      </c>
      <c r="C170" s="8">
        <v>11378</v>
      </c>
      <c r="D170" s="9">
        <v>16786.599999999999</v>
      </c>
    </row>
    <row r="171" spans="1:4" ht="15" thickBot="1" x14ac:dyDescent="0.4">
      <c r="A171" s="13" t="s">
        <v>88</v>
      </c>
      <c r="B171" s="7" t="str">
        <f>VLOOKUP(A171,Sheet2!A:F,1+'Balance sheet 2022.02'!C$1,FALSE)</f>
        <v>Other reserves</v>
      </c>
      <c r="C171" s="8">
        <v>-4340148.3099999996</v>
      </c>
      <c r="D171" s="9">
        <v>-7840620.4100000001</v>
      </c>
    </row>
    <row r="172" spans="1:4" ht="15" thickBot="1" x14ac:dyDescent="0.4">
      <c r="A172" s="29">
        <v>316000</v>
      </c>
      <c r="B172" s="7" t="str">
        <f>VLOOKUP(A172,Sheet2!A:F,1+'Balance sheet 2022.02'!C$1,FALSE)</f>
        <v>Retained earnings</v>
      </c>
      <c r="C172" s="8">
        <v>28970047.440000001</v>
      </c>
      <c r="D172" s="9">
        <v>42703954.57</v>
      </c>
    </row>
    <row r="173" spans="1:4" ht="15" thickBot="1" x14ac:dyDescent="0.4">
      <c r="A173" s="29">
        <v>317000</v>
      </c>
      <c r="B173" s="7" t="str">
        <f>VLOOKUP(A173,Sheet2!A:F,1+'Balance sheet 2022.02'!C$1,FALSE)</f>
        <v>Net income</v>
      </c>
      <c r="C173" s="8">
        <v>6703107.9900000002</v>
      </c>
      <c r="D173" s="9">
        <v>9344486.9600000009</v>
      </c>
    </row>
    <row r="174" spans="1:4" ht="15" thickBot="1" x14ac:dyDescent="0.4">
      <c r="A174" s="29">
        <v>319000</v>
      </c>
      <c r="B174" s="7" t="str">
        <f>VLOOKUP(A174,Sheet2!A:F,1+'Balance sheet 2022.02'!C$1,FALSE)</f>
        <v>Net income - clearing</v>
      </c>
      <c r="C174" s="8">
        <v>-88302.7</v>
      </c>
      <c r="D174" s="9">
        <v>-123031.79</v>
      </c>
    </row>
    <row r="175" spans="1:4" ht="15" thickBot="1" x14ac:dyDescent="0.4">
      <c r="A175" s="13" t="s">
        <v>89</v>
      </c>
      <c r="B175" s="7" t="str">
        <f>VLOOKUP(A175,Sheet2!A:F,1+'Balance sheet 2022.02'!C$1,FALSE)</f>
        <v>Retained earnings</v>
      </c>
      <c r="C175" s="8">
        <v>35584852.729999997</v>
      </c>
      <c r="D175" s="9">
        <v>51925409.740000002</v>
      </c>
    </row>
    <row r="176" spans="1:4" ht="15" thickBot="1" x14ac:dyDescent="0.4">
      <c r="A176" s="12" t="s">
        <v>90</v>
      </c>
      <c r="B176" s="7" t="str">
        <f>VLOOKUP(A176,Sheet2!A:F,1+'Balance sheet 2022.02'!C$1,FALSE)</f>
        <v>Equity attributable to owners of parent</v>
      </c>
      <c r="C176" s="8">
        <v>37095304.420000002</v>
      </c>
      <c r="D176" s="9">
        <v>52675154.189999998</v>
      </c>
    </row>
    <row r="177" spans="1:4" ht="15" thickBot="1" x14ac:dyDescent="0.4">
      <c r="A177" s="30">
        <v>321100</v>
      </c>
      <c r="B177" s="7" t="str">
        <f>VLOOKUP(A177,Sheet2!A:F,1+'Balance sheet 2022.02'!C$1,FALSE)</f>
        <v>NCI - Reserves and retained earnings</v>
      </c>
      <c r="C177" s="8">
        <v>4175944.12</v>
      </c>
      <c r="D177" s="9">
        <v>6140857.71</v>
      </c>
    </row>
    <row r="178" spans="1:4" ht="15" thickBot="1" x14ac:dyDescent="0.4">
      <c r="A178" s="30">
        <v>321150</v>
      </c>
      <c r="B178" s="7" t="str">
        <f>VLOOKUP(A178,Sheet2!A:F,1+'Balance sheet 2022.02'!C$1,FALSE)</f>
        <v>NCI - Net income</v>
      </c>
      <c r="C178" s="8">
        <v>1306711.1499999999</v>
      </c>
      <c r="D178" s="9">
        <v>1824743.87</v>
      </c>
    </row>
    <row r="179" spans="1:4" ht="15" thickBot="1" x14ac:dyDescent="0.4">
      <c r="A179" s="30">
        <v>321200</v>
      </c>
      <c r="B179" s="7" t="str">
        <f>VLOOKUP(A179,Sheet2!A:F,1+'Balance sheet 2022.02'!C$1,FALSE)</f>
        <v>NCI - Revaluation surplus before tax</v>
      </c>
      <c r="C179" s="8">
        <v>1500</v>
      </c>
      <c r="D179" s="9">
        <v>2194.31</v>
      </c>
    </row>
    <row r="180" spans="1:4" ht="15" thickBot="1" x14ac:dyDescent="0.4">
      <c r="A180" s="30">
        <v>321210</v>
      </c>
      <c r="B180" s="7" t="str">
        <f>VLOOKUP(A180,Sheet2!A:F,1+'Balance sheet 2022.02'!C$1,FALSE)</f>
        <v>NCI - Income tax on revaluation surplus</v>
      </c>
      <c r="C180" s="8">
        <v>-510</v>
      </c>
      <c r="D180" s="9">
        <v>-745.36</v>
      </c>
    </row>
    <row r="181" spans="1:4" ht="15" thickBot="1" x14ac:dyDescent="0.4">
      <c r="A181" s="30">
        <v>321250</v>
      </c>
      <c r="B181" s="7" t="str">
        <f>VLOOKUP(A181,Sheet2!A:F,1+'Balance sheet 2022.02'!C$1,FALSE)</f>
        <v>NCI - Remeasur. defined benefit plans, bef. tax</v>
      </c>
      <c r="C181" s="8">
        <v>900</v>
      </c>
      <c r="D181" s="9">
        <v>1393.11</v>
      </c>
    </row>
    <row r="182" spans="1:4" ht="15" thickBot="1" x14ac:dyDescent="0.4">
      <c r="A182" s="30">
        <v>321260</v>
      </c>
      <c r="B182" s="7" t="str">
        <f>VLOOKUP(A182,Sheet2!A:F,1+'Balance sheet 2022.02'!C$1,FALSE)</f>
        <v>NCI - Tax on remeasur. defined benefit plans</v>
      </c>
      <c r="C182" s="8">
        <v>-150</v>
      </c>
      <c r="D182" s="9">
        <v>-266.97000000000003</v>
      </c>
    </row>
    <row r="183" spans="1:4" ht="15" thickBot="1" x14ac:dyDescent="0.4">
      <c r="A183" s="30">
        <v>321300</v>
      </c>
      <c r="B183" s="7" t="str">
        <f>VLOOKUP(A183,Sheet2!A:F,1+'Balance sheet 2022.02'!C$1,FALSE)</f>
        <v>NCI - Non-recyclable hedging reserve, before tax</v>
      </c>
      <c r="C183" s="8">
        <v>1500</v>
      </c>
      <c r="D183" s="9">
        <v>2205.9</v>
      </c>
    </row>
    <row r="184" spans="1:4" ht="15" thickBot="1" x14ac:dyDescent="0.4">
      <c r="A184" s="30">
        <v>321310</v>
      </c>
      <c r="B184" s="7" t="str">
        <f>VLOOKUP(A184,Sheet2!A:F,1+'Balance sheet 2022.02'!C$1,FALSE)</f>
        <v>NCI - Income tax on non-recyclable hedging reserve</v>
      </c>
      <c r="C184" s="8">
        <v>-936</v>
      </c>
      <c r="D184" s="9">
        <v>-1355.7</v>
      </c>
    </row>
    <row r="185" spans="1:4" ht="15" thickBot="1" x14ac:dyDescent="0.4">
      <c r="A185" s="30">
        <v>321350</v>
      </c>
      <c r="B185" s="7" t="str">
        <f>VLOOKUP(A185,Sheet2!A:F,1+'Balance sheet 2022.02'!C$1,FALSE)</f>
        <v>NCI - Non-recycl. fair value reserve, before tax</v>
      </c>
      <c r="C185" s="8">
        <v>0</v>
      </c>
      <c r="D185" s="9">
        <v>0</v>
      </c>
    </row>
    <row r="186" spans="1:4" ht="15" thickBot="1" x14ac:dyDescent="0.4">
      <c r="A186" s="30">
        <v>321360</v>
      </c>
      <c r="B186" s="7" t="str">
        <f>VLOOKUP(A186,Sheet2!A:F,1+'Balance sheet 2022.02'!C$1,FALSE)</f>
        <v>NCI - Income tax on non-recyclable fair value rese</v>
      </c>
      <c r="C186" s="8">
        <v>0</v>
      </c>
      <c r="D186" s="9">
        <v>0</v>
      </c>
    </row>
    <row r="187" spans="1:4" ht="15" thickBot="1" x14ac:dyDescent="0.4">
      <c r="A187" s="30">
        <v>321500</v>
      </c>
      <c r="B187" s="7" t="str">
        <f>VLOOKUP(A187,Sheet2!A:F,1+'Balance sheet 2022.02'!C$1,FALSE)</f>
        <v>NCI - Recyclable fair value reserve, before tax</v>
      </c>
      <c r="C187" s="8">
        <v>1650</v>
      </c>
      <c r="D187" s="9">
        <v>2461.27</v>
      </c>
    </row>
    <row r="188" spans="1:4" ht="15" thickBot="1" x14ac:dyDescent="0.4">
      <c r="A188" s="30">
        <v>321550</v>
      </c>
      <c r="B188" s="7" t="str">
        <f>VLOOKUP(A188,Sheet2!A:F,1+'Balance sheet 2022.02'!C$1,FALSE)</f>
        <v>NCI - Income tax on recyclable fair value reserve</v>
      </c>
      <c r="C188" s="8">
        <v>-600</v>
      </c>
      <c r="D188" s="9">
        <v>-905.56</v>
      </c>
    </row>
    <row r="189" spans="1:4" ht="15" thickBot="1" x14ac:dyDescent="0.4">
      <c r="A189" s="30">
        <v>321600</v>
      </c>
      <c r="B189" s="7" t="str">
        <f>VLOOKUP(A189,Sheet2!A:F,1+'Balance sheet 2022.02'!C$1,FALSE)</f>
        <v>NCI - Foreign curr. translation reserve, bef. tax</v>
      </c>
      <c r="C189" s="8">
        <v>-491229.47</v>
      </c>
      <c r="D189" s="9">
        <v>-878082.66</v>
      </c>
    </row>
    <row r="190" spans="1:4" ht="15" thickBot="1" x14ac:dyDescent="0.4">
      <c r="A190" s="30">
        <v>321750</v>
      </c>
      <c r="B190" s="7" t="str">
        <f>VLOOKUP(A190,Sheet2!A:F,1+'Balance sheet 2022.02'!C$1,FALSE)</f>
        <v>NCI - Compound financial instruments</v>
      </c>
      <c r="C190" s="8">
        <v>1200</v>
      </c>
      <c r="D190" s="9">
        <v>1787.91</v>
      </c>
    </row>
    <row r="191" spans="1:4" ht="15" thickBot="1" x14ac:dyDescent="0.4">
      <c r="A191" s="12" t="s">
        <v>91</v>
      </c>
      <c r="B191" s="7" t="str">
        <f>VLOOKUP(A191,Sheet2!A:F,1+'Balance sheet 2022.02'!C$1,FALSE)</f>
        <v>Non-controlling interests</v>
      </c>
      <c r="C191" s="8">
        <v>4995979.8</v>
      </c>
      <c r="D191" s="9">
        <v>7094287.8300000001</v>
      </c>
    </row>
    <row r="192" spans="1:4" ht="15" thickBot="1" x14ac:dyDescent="0.4">
      <c r="A192" s="11" t="s">
        <v>92</v>
      </c>
      <c r="B192" s="7" t="str">
        <f>VLOOKUP(A192,Sheet2!A:F,1+'Balance sheet 2022.02'!C$1,FALSE)</f>
        <v>Total equity</v>
      </c>
      <c r="C192" s="8">
        <v>42091284.219999999</v>
      </c>
      <c r="D192" s="9">
        <v>59769442.020000003</v>
      </c>
    </row>
    <row r="193" spans="1:4" ht="15" thickBot="1" x14ac:dyDescent="0.4">
      <c r="A193" s="10" t="s">
        <v>93</v>
      </c>
      <c r="B193" s="7" t="str">
        <f>VLOOKUP(A193,Sheet2!A:F,1+'Balance sheet 2022.02'!C$1,FALSE)</f>
        <v>Liabilities &amp; Equity</v>
      </c>
      <c r="C193" s="8">
        <v>94737278.260000005</v>
      </c>
      <c r="D193" s="9">
        <v>134526934.49000001</v>
      </c>
    </row>
    <row r="194" spans="1:4" ht="15" thickBot="1" x14ac:dyDescent="0.4">
      <c r="A194" s="7" t="s">
        <v>94</v>
      </c>
      <c r="B194" s="7" t="str">
        <f>VLOOKUP(A194,Sheet2!A:F,1+'Balance sheet 2022.02'!C$1,FALSE)</f>
        <v>Balance Sheet</v>
      </c>
      <c r="C194" s="8">
        <v>0</v>
      </c>
      <c r="D194" s="9">
        <v>0</v>
      </c>
    </row>
  </sheetData>
  <mergeCells count="1">
    <mergeCell ref="C3:D3"/>
  </mergeCells>
  <dataValidations count="2">
    <dataValidation type="list" allowBlank="1" showInputMessage="1" showErrorMessage="1" sqref="B1" xr:uid="{5CE0C71D-52F2-4717-B729-BB2B2795D343}">
      <formula1>$H$3:$L$3</formula1>
    </dataValidation>
    <dataValidation type="list" allowBlank="1" showInputMessage="1" showErrorMessage="1" sqref="B2" xr:uid="{0501107C-E277-498A-A23F-A071235B4D97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workbookViewId="0">
      <selection activeCell="B15" sqref="B15"/>
    </sheetView>
  </sheetViews>
  <sheetFormatPr defaultColWidth="11.453125" defaultRowHeight="14.5" x14ac:dyDescent="0.35"/>
  <cols>
    <col min="1" max="1" width="22.08984375" bestFit="1" customWidth="1"/>
    <col min="2" max="2" width="35.1796875" bestFit="1" customWidth="1"/>
    <col min="3" max="4" width="18.54296875" style="3" bestFit="1" customWidth="1"/>
  </cols>
  <sheetData>
    <row r="1" spans="1:12" ht="43.5" x14ac:dyDescent="0.35">
      <c r="A1" s="22" t="s">
        <v>2754</v>
      </c>
      <c r="B1" s="23" t="s">
        <v>2755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40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39" t="s">
        <v>1</v>
      </c>
      <c r="B4" s="39" t="s">
        <v>1</v>
      </c>
      <c r="C4" s="4" t="s">
        <v>47</v>
      </c>
      <c r="D4" s="4" t="s">
        <v>48</v>
      </c>
    </row>
    <row r="5" spans="1:12" ht="15" thickBot="1" x14ac:dyDescent="0.4">
      <c r="A5" s="32">
        <v>411100</v>
      </c>
      <c r="B5" s="7" t="str">
        <f>VLOOKUP(A5,Sheet2!A:F,1+'P&amp;L 2022.02'!C$1,FALSE)</f>
        <v>Sale of goods</v>
      </c>
      <c r="C5" s="8">
        <v>365385947.16000003</v>
      </c>
      <c r="D5" s="9">
        <v>510774078.04000002</v>
      </c>
    </row>
    <row r="6" spans="1:12" ht="15" thickBot="1" x14ac:dyDescent="0.4">
      <c r="A6" s="15" t="s">
        <v>28</v>
      </c>
      <c r="B6" s="7" t="str">
        <f>VLOOKUP(A6,Sheet2!A:F,1+'P&amp;L 2022.02'!C$1,FALSE)</f>
        <v>Revenue</v>
      </c>
      <c r="C6" s="8">
        <v>365385947.16000003</v>
      </c>
      <c r="D6" s="9">
        <v>510774078.04000002</v>
      </c>
    </row>
    <row r="7" spans="1:12" ht="15" thickBot="1" x14ac:dyDescent="0.4">
      <c r="A7" s="32">
        <v>412100</v>
      </c>
      <c r="B7" s="7" t="str">
        <f>VLOOKUP(A7,Sheet2!A:F,1+'P&amp;L 2022.02'!C$1,FALSE)</f>
        <v>Changes in Inventory</v>
      </c>
      <c r="C7" s="8">
        <v>-18046814.98</v>
      </c>
      <c r="D7" s="9">
        <v>-25194845.969999999</v>
      </c>
    </row>
    <row r="8" spans="1:12" ht="15" thickBot="1" x14ac:dyDescent="0.4">
      <c r="A8" s="32">
        <v>412200</v>
      </c>
      <c r="B8" s="7" t="str">
        <f>VLOOKUP(A8,Sheet2!A:F,1+'P&amp;L 2022.02'!C$1,FALSE)</f>
        <v>Cost of purchased services and materials</v>
      </c>
      <c r="C8" s="8">
        <v>-114374985.66</v>
      </c>
      <c r="D8" s="9">
        <v>-159920963.96000001</v>
      </c>
    </row>
    <row r="9" spans="1:12" ht="15" thickBot="1" x14ac:dyDescent="0.4">
      <c r="A9" s="16" t="s">
        <v>17</v>
      </c>
      <c r="B9" s="7" t="str">
        <f>VLOOKUP(A9,Sheet2!A:F,1+'P&amp;L 2022.02'!C$1,FALSE)</f>
        <v>Clearing account - Gross margin</v>
      </c>
      <c r="C9" s="8">
        <v>0</v>
      </c>
      <c r="D9" s="9">
        <v>0</v>
      </c>
    </row>
    <row r="10" spans="1:12" ht="15" thickBot="1" x14ac:dyDescent="0.4">
      <c r="A10" s="15" t="s">
        <v>30</v>
      </c>
      <c r="B10" s="7" t="str">
        <f>VLOOKUP(A10,Sheet2!A:F,1+'P&amp;L 2022.02'!C$1,FALSE)</f>
        <v>Changes in Inventory / COS</v>
      </c>
      <c r="C10" s="8">
        <v>-132421800.64</v>
      </c>
      <c r="D10" s="9">
        <v>-185115809.93000001</v>
      </c>
    </row>
    <row r="11" spans="1:12" ht="15" thickBot="1" x14ac:dyDescent="0.4">
      <c r="A11" s="14" t="s">
        <v>32</v>
      </c>
      <c r="B11" s="7" t="str">
        <f>VLOOKUP(A11,Sheet2!A:F,1+'P&amp;L 2022.02'!C$1,FALSE)</f>
        <v>Gross margin</v>
      </c>
      <c r="C11" s="8">
        <v>232964146.52000001</v>
      </c>
      <c r="D11" s="9">
        <v>325658268.11000001</v>
      </c>
    </row>
    <row r="12" spans="1:12" ht="15" thickBot="1" x14ac:dyDescent="0.4">
      <c r="A12" s="31">
        <v>511000</v>
      </c>
      <c r="B12" s="7" t="str">
        <f>VLOOKUP(A12,Sheet2!A:F,1+'P&amp;L 2022.02'!C$1,FALSE)</f>
        <v>Gains on the disposal of PPE</v>
      </c>
      <c r="C12" s="8">
        <v>292362.21000000002</v>
      </c>
      <c r="D12" s="9">
        <v>408133.48</v>
      </c>
    </row>
    <row r="13" spans="1:12" ht="15" thickBot="1" x14ac:dyDescent="0.4">
      <c r="A13" s="31">
        <v>511200</v>
      </c>
      <c r="B13" s="7" t="str">
        <f>VLOOKUP(A13,Sheet2!A:F,1+'P&amp;L 2022.02'!C$1,FALSE)</f>
        <v>Gains on the disposal of intangible assets</v>
      </c>
      <c r="C13" s="8">
        <v>653.49</v>
      </c>
      <c r="D13" s="9">
        <v>912.27</v>
      </c>
    </row>
    <row r="14" spans="1:12" ht="15" thickBot="1" x14ac:dyDescent="0.4">
      <c r="A14" s="31">
        <v>511300</v>
      </c>
      <c r="B14" s="7" t="str">
        <f>VLOOKUP(A14,Sheet2!A:F,1+'P&amp;L 2022.02'!C$1,FALSE)</f>
        <v>Gains on the disposal of other assets</v>
      </c>
      <c r="C14" s="8">
        <v>465.54</v>
      </c>
      <c r="D14" s="9">
        <v>648.97</v>
      </c>
    </row>
    <row r="15" spans="1:12" ht="15" thickBot="1" x14ac:dyDescent="0.4">
      <c r="A15" s="31">
        <v>512000</v>
      </c>
      <c r="B15" s="7" t="str">
        <f>VLOOKUP(A15,Sheet2!A:F,1+'P&amp;L 2022.02'!C$1,FALSE)</f>
        <v>Gains on the sale of shares</v>
      </c>
      <c r="C15" s="8">
        <v>347424</v>
      </c>
      <c r="D15" s="9">
        <v>468278.6</v>
      </c>
    </row>
    <row r="16" spans="1:12" ht="15" thickBot="1" x14ac:dyDescent="0.4">
      <c r="A16" s="31">
        <v>515000</v>
      </c>
      <c r="B16" s="7" t="str">
        <f>VLOOKUP(A16,Sheet2!A:F,1+'P&amp;L 2022.02'!C$1,FALSE)</f>
        <v>Other income</v>
      </c>
      <c r="C16" s="8">
        <v>42254.66</v>
      </c>
      <c r="D16" s="9">
        <v>58988.15</v>
      </c>
    </row>
    <row r="17" spans="1:4" ht="15" thickBot="1" x14ac:dyDescent="0.4">
      <c r="A17" s="14" t="s">
        <v>33</v>
      </c>
      <c r="B17" s="7" t="str">
        <f>VLOOKUP(A17,Sheet2!A:F,1+'P&amp;L 2022.02'!C$1,FALSE)</f>
        <v>Other operating income</v>
      </c>
      <c r="C17" s="8">
        <v>683159.9</v>
      </c>
      <c r="D17" s="9">
        <v>936961.47</v>
      </c>
    </row>
    <row r="18" spans="1:4" ht="15" thickBot="1" x14ac:dyDescent="0.4">
      <c r="A18" s="31">
        <v>585000</v>
      </c>
      <c r="B18" s="7" t="str">
        <f>VLOOKUP(A18,Sheet2!A:F,1+'P&amp;L 2022.02'!C$1,FALSE)</f>
        <v>Other expenses</v>
      </c>
      <c r="C18" s="8">
        <v>-214874295.19999999</v>
      </c>
      <c r="D18" s="9">
        <v>-300381572.49000001</v>
      </c>
    </row>
    <row r="19" spans="1:4" ht="15" thickBot="1" x14ac:dyDescent="0.4">
      <c r="A19" s="15" t="s">
        <v>18</v>
      </c>
      <c r="B19" s="7" t="str">
        <f>VLOOKUP(A19,Sheet2!A:F,1+'P&amp;L 2022.02'!C$1,FALSE)</f>
        <v>Clearing account - Other operating</v>
      </c>
      <c r="C19" s="8">
        <v>-0.33</v>
      </c>
      <c r="D19" s="9">
        <v>-0.83</v>
      </c>
    </row>
    <row r="20" spans="1:4" ht="15" thickBot="1" x14ac:dyDescent="0.4">
      <c r="A20" s="14" t="s">
        <v>34</v>
      </c>
      <c r="B20" s="7" t="str">
        <f>VLOOKUP(A20,Sheet2!A:F,1+'P&amp;L 2022.02'!C$1,FALSE)</f>
        <v>Other operating expenses</v>
      </c>
      <c r="C20" s="8">
        <v>-214874295.53</v>
      </c>
      <c r="D20" s="9">
        <v>-300381573.31999999</v>
      </c>
    </row>
    <row r="21" spans="1:4" ht="15" thickBot="1" x14ac:dyDescent="0.4">
      <c r="A21" s="13" t="s">
        <v>35</v>
      </c>
      <c r="B21" s="7" t="str">
        <f>VLOOKUP(A21,Sheet2!A:F,1+'P&amp;L 2022.02'!C$1,FALSE)</f>
        <v>Operating income / loss</v>
      </c>
      <c r="C21" s="8">
        <v>18773010.890000001</v>
      </c>
      <c r="D21" s="9">
        <v>26213656.260000002</v>
      </c>
    </row>
    <row r="22" spans="1:4" ht="15" thickBot="1" x14ac:dyDescent="0.4">
      <c r="A22" s="31">
        <v>601000</v>
      </c>
      <c r="B22" s="7" t="str">
        <f>VLOOKUP(A22,Sheet2!A:F,1+'P&amp;L 2022.02'!C$1,FALSE)</f>
        <v>Interest income</v>
      </c>
      <c r="C22" s="8">
        <v>281426.13</v>
      </c>
      <c r="D22" s="9">
        <v>392878.7</v>
      </c>
    </row>
    <row r="23" spans="1:4" ht="15" thickBot="1" x14ac:dyDescent="0.4">
      <c r="A23" s="31">
        <v>602000</v>
      </c>
      <c r="B23" s="7" t="str">
        <f>VLOOKUP(A23,Sheet2!A:F,1+'P&amp;L 2022.02'!C$1,FALSE)</f>
        <v>Financial fair value gains or losses</v>
      </c>
      <c r="C23" s="8">
        <v>5636.45</v>
      </c>
      <c r="D23" s="9">
        <v>7868.63</v>
      </c>
    </row>
    <row r="24" spans="1:4" ht="15" thickBot="1" x14ac:dyDescent="0.4">
      <c r="A24" s="31">
        <v>603000</v>
      </c>
      <c r="B24" s="7" t="str">
        <f>VLOOKUP(A24,Sheet2!A:F,1+'P&amp;L 2022.02'!C$1,FALSE)</f>
        <v>Dividends</v>
      </c>
      <c r="C24" s="8">
        <v>578749</v>
      </c>
      <c r="D24" s="9">
        <v>806370.98</v>
      </c>
    </row>
    <row r="25" spans="1:4" ht="15" thickBot="1" x14ac:dyDescent="0.4">
      <c r="A25" s="31">
        <v>604000</v>
      </c>
      <c r="B25" s="7" t="str">
        <f>VLOOKUP(A25,Sheet2!A:F,1+'P&amp;L 2022.02'!C$1,FALSE)</f>
        <v>Other financial income</v>
      </c>
      <c r="C25" s="8">
        <v>146403.13</v>
      </c>
      <c r="D25" s="9">
        <v>204380.19</v>
      </c>
    </row>
    <row r="26" spans="1:4" ht="15" thickBot="1" x14ac:dyDescent="0.4">
      <c r="A26" s="14" t="s">
        <v>36</v>
      </c>
      <c r="B26" s="7" t="str">
        <f>VLOOKUP(A26,Sheet2!A:F,1+'P&amp;L 2022.02'!C$1,FALSE)</f>
        <v>Finance income</v>
      </c>
      <c r="C26" s="8">
        <v>1012214.71</v>
      </c>
      <c r="D26" s="9">
        <v>1411498.5</v>
      </c>
    </row>
    <row r="27" spans="1:4" ht="15" thickBot="1" x14ac:dyDescent="0.4">
      <c r="A27" s="31">
        <v>652000</v>
      </c>
      <c r="B27" s="7" t="str">
        <f>VLOOKUP(A27,Sheet2!A:F,1+'P&amp;L 2022.02'!C$1,FALSE)</f>
        <v>Interest expenses</v>
      </c>
      <c r="C27" s="8">
        <v>-26702</v>
      </c>
      <c r="D27" s="9">
        <v>-37277.58</v>
      </c>
    </row>
    <row r="28" spans="1:4" ht="15" thickBot="1" x14ac:dyDescent="0.4">
      <c r="A28" s="31">
        <v>653000</v>
      </c>
      <c r="B28" s="7" t="str">
        <f>VLOOKUP(A28,Sheet2!A:F,1+'P&amp;L 2022.02'!C$1,FALSE)</f>
        <v>Other financial expenses</v>
      </c>
      <c r="C28" s="8">
        <v>-1809727.31</v>
      </c>
      <c r="D28" s="9">
        <v>-2529645.9700000002</v>
      </c>
    </row>
    <row r="29" spans="1:4" ht="15" thickBot="1" x14ac:dyDescent="0.4">
      <c r="A29" s="15" t="s">
        <v>19</v>
      </c>
      <c r="B29" s="7" t="str">
        <f>VLOOKUP(A29,Sheet2!A:F,1+'P&amp;L 2022.02'!C$1,FALSE)</f>
        <v>Clearing account - financial result</v>
      </c>
      <c r="C29" s="8">
        <v>-0.64</v>
      </c>
      <c r="D29" s="9">
        <v>0.4</v>
      </c>
    </row>
    <row r="30" spans="1:4" ht="15" thickBot="1" x14ac:dyDescent="0.4">
      <c r="A30" s="14" t="s">
        <v>37</v>
      </c>
      <c r="B30" s="7" t="str">
        <f>VLOOKUP(A30,Sheet2!A:F,1+'P&amp;L 2022.02'!C$1,FALSE)</f>
        <v>Finance costs</v>
      </c>
      <c r="C30" s="8">
        <v>-1836429.95</v>
      </c>
      <c r="D30" s="9">
        <v>-2566923.15</v>
      </c>
    </row>
    <row r="31" spans="1:4" ht="15" thickBot="1" x14ac:dyDescent="0.4">
      <c r="A31" s="13" t="s">
        <v>38</v>
      </c>
      <c r="B31" s="7" t="str">
        <f>VLOOKUP(A31,Sheet2!A:F,1+'P&amp;L 2022.02'!C$1,FALSE)</f>
        <v>Financial result</v>
      </c>
      <c r="C31" s="8">
        <v>-824215.24</v>
      </c>
      <c r="D31" s="9">
        <v>-1155424.6499999999</v>
      </c>
    </row>
    <row r="32" spans="1:4" ht="15" thickBot="1" x14ac:dyDescent="0.4">
      <c r="A32" s="29">
        <v>711000</v>
      </c>
      <c r="B32" s="7" t="str">
        <f>VLOOKUP(A32,Sheet2!A:F,1+'P&amp;L 2022.02'!C$1,FALSE)</f>
        <v>Share of profit - associates / JV at equity method</v>
      </c>
      <c r="C32" s="8">
        <v>10400</v>
      </c>
      <c r="D32" s="9">
        <v>14512.03</v>
      </c>
    </row>
    <row r="33" spans="1:4" ht="15" thickBot="1" x14ac:dyDescent="0.4">
      <c r="A33" s="13" t="s">
        <v>39</v>
      </c>
      <c r="B33" s="7" t="str">
        <f>VLOOKUP(A33,Sheet2!A:F,1+'P&amp;L 2022.02'!C$1,FALSE)</f>
        <v>Share of profit - associates / JV at equity method</v>
      </c>
      <c r="C33" s="8">
        <v>10400</v>
      </c>
      <c r="D33" s="9">
        <v>14512.03</v>
      </c>
    </row>
    <row r="34" spans="1:4" ht="15" thickBot="1" x14ac:dyDescent="0.4">
      <c r="A34" s="12" t="s">
        <v>40</v>
      </c>
      <c r="B34" s="7" t="str">
        <f>VLOOKUP(A34,Sheet2!A:F,1+'P&amp;L 2022.02'!C$1,FALSE)</f>
        <v>Profit (loss) before tax</v>
      </c>
      <c r="C34" s="8">
        <v>17959195.649999999</v>
      </c>
      <c r="D34" s="9">
        <v>25072743.640000001</v>
      </c>
    </row>
    <row r="35" spans="1:4" ht="15" thickBot="1" x14ac:dyDescent="0.4">
      <c r="A35" s="30">
        <v>721000</v>
      </c>
      <c r="B35" s="7" t="str">
        <f>VLOOKUP(A35,Sheet2!A:F,1+'P&amp;L 2022.02'!C$1,FALSE)</f>
        <v>Income tax</v>
      </c>
      <c r="C35" s="8">
        <v>-9894489.5299999993</v>
      </c>
      <c r="D35" s="9">
        <v>-13826887.27</v>
      </c>
    </row>
    <row r="36" spans="1:4" ht="15" thickBot="1" x14ac:dyDescent="0.4">
      <c r="A36" s="30">
        <v>722000</v>
      </c>
      <c r="B36" s="7" t="str">
        <f>VLOOKUP(A36,Sheet2!A:F,1+'P&amp;L 2022.02'!C$1,FALSE)</f>
        <v>Deferred tax</v>
      </c>
      <c r="C36" s="8">
        <v>126105.31</v>
      </c>
      <c r="D36" s="9">
        <v>176052.59</v>
      </c>
    </row>
    <row r="37" spans="1:4" ht="15" thickBot="1" x14ac:dyDescent="0.4">
      <c r="A37" s="12" t="s">
        <v>41</v>
      </c>
      <c r="B37" s="7" t="str">
        <f>VLOOKUP(A37,Sheet2!A:F,1+'P&amp;L 2022.02'!C$1,FALSE)</f>
        <v>Tax</v>
      </c>
      <c r="C37" s="8">
        <v>-9768384.2200000007</v>
      </c>
      <c r="D37" s="9">
        <v>-13650834.68</v>
      </c>
    </row>
    <row r="38" spans="1:4" ht="15" thickBot="1" x14ac:dyDescent="0.4">
      <c r="A38" s="11" t="s">
        <v>43</v>
      </c>
      <c r="B38" s="7" t="str">
        <f>VLOOKUP(A38,Sheet2!A:F,1+'P&amp;L 2022.02'!C$1,FALSE)</f>
        <v>Profit (loss) from continuing operations</v>
      </c>
      <c r="C38" s="8">
        <v>8190811.4299999997</v>
      </c>
      <c r="D38" s="9">
        <v>11421908.960000001</v>
      </c>
    </row>
    <row r="39" spans="1:4" ht="15" thickBot="1" x14ac:dyDescent="0.4">
      <c r="A39" s="33">
        <v>730000</v>
      </c>
      <c r="B39" s="7" t="str">
        <f>VLOOKUP(A39,Sheet2!A:F,1+'P&amp;L 2022.02'!C$1,FALSE)</f>
        <v>Profit (loss) from discontinued operations</v>
      </c>
      <c r="C39" s="8">
        <v>-180992.28</v>
      </c>
      <c r="D39" s="9">
        <v>-252678.13</v>
      </c>
    </row>
    <row r="40" spans="1:4" ht="15" thickBot="1" x14ac:dyDescent="0.4">
      <c r="A40" s="11" t="s">
        <v>44</v>
      </c>
      <c r="B40" s="7" t="str">
        <f>VLOOKUP(A40,Sheet2!A:F,1+'P&amp;L 2022.02'!C$1,FALSE)</f>
        <v>Profit (loss) from discontinued operations</v>
      </c>
      <c r="C40" s="8">
        <v>-180992.28</v>
      </c>
      <c r="D40" s="9">
        <v>-252678.13</v>
      </c>
    </row>
    <row r="41" spans="1:4" ht="15" thickBot="1" x14ac:dyDescent="0.4">
      <c r="A41" s="34">
        <v>792000</v>
      </c>
      <c r="B41" s="7" t="str">
        <f>VLOOKUP(A41,Sheet2!A:F,1+'P&amp;L 2022.02'!C$1,FALSE)</f>
        <v>Net income - NCI</v>
      </c>
      <c r="C41" s="8">
        <v>-1306711.1499999999</v>
      </c>
      <c r="D41" s="9">
        <v>-1824743.87</v>
      </c>
    </row>
    <row r="42" spans="1:4" ht="15" thickBot="1" x14ac:dyDescent="0.4">
      <c r="A42" s="10" t="s">
        <v>45</v>
      </c>
      <c r="B42" s="7" t="str">
        <f>VLOOKUP(A42,Sheet2!A:F,1+'P&amp;L 2022.02'!C$1,FALSE)</f>
        <v>NET INCOME / LOSS</v>
      </c>
      <c r="C42" s="8">
        <v>6703108</v>
      </c>
      <c r="D42" s="9">
        <v>9344486.9600000009</v>
      </c>
    </row>
  </sheetData>
  <mergeCells count="2">
    <mergeCell ref="A4:B4"/>
    <mergeCell ref="C3:D3"/>
  </mergeCells>
  <dataValidations count="2">
    <dataValidation type="list" allowBlank="1" showInputMessage="1" showErrorMessage="1" sqref="B2" xr:uid="{A7E9F3F6-478C-4B33-983B-50FB375ED473}">
      <formula1>$H$10:$L$10</formula1>
    </dataValidation>
    <dataValidation type="list" allowBlank="1" showInputMessage="1" showErrorMessage="1" sqref="B1" xr:uid="{03F63256-5E04-40D4-87D4-332C2A1E2416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075-C0EA-4C4C-81A4-1F99C5CC512C}">
  <dimension ref="A1:AR564"/>
  <sheetViews>
    <sheetView topLeftCell="A514" workbookViewId="0">
      <selection activeCell="F522" sqref="F522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43" x14ac:dyDescent="0.35">
      <c r="A2" t="s">
        <v>100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</row>
    <row r="3" spans="1:43" x14ac:dyDescent="0.35"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</row>
    <row r="4" spans="1:43" x14ac:dyDescent="0.35">
      <c r="A4">
        <v>321200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</row>
    <row r="5" spans="1:43" x14ac:dyDescent="0.35">
      <c r="A5">
        <v>321150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</row>
    <row r="6" spans="1:43" x14ac:dyDescent="0.35">
      <c r="A6">
        <v>321100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</row>
    <row r="7" spans="1:43" x14ac:dyDescent="0.35">
      <c r="A7">
        <v>317000</v>
      </c>
      <c r="B7" t="s">
        <v>118</v>
      </c>
      <c r="C7" t="s">
        <v>119</v>
      </c>
      <c r="D7" t="s">
        <v>120</v>
      </c>
      <c r="E7" t="s">
        <v>121</v>
      </c>
      <c r="F7" t="s">
        <v>122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</row>
    <row r="8" spans="1:43" x14ac:dyDescent="0.35">
      <c r="A8">
        <v>316000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</row>
    <row r="9" spans="1:43" x14ac:dyDescent="0.35">
      <c r="A9">
        <v>315100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</row>
    <row r="10" spans="1:43" x14ac:dyDescent="0.35">
      <c r="A10">
        <v>315000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</row>
    <row r="11" spans="1:43" x14ac:dyDescent="0.35">
      <c r="A11">
        <v>314900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</row>
    <row r="12" spans="1:43" x14ac:dyDescent="0.35">
      <c r="A12">
        <v>314800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</row>
    <row r="13" spans="1:43" x14ac:dyDescent="0.35">
      <c r="A13">
        <v>314700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</row>
    <row r="14" spans="1:43" x14ac:dyDescent="0.35">
      <c r="A14" t="s">
        <v>59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</row>
    <row r="15" spans="1:43" x14ac:dyDescent="0.35">
      <c r="A15" t="s">
        <v>55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</row>
    <row r="16" spans="1:43" x14ac:dyDescent="0.35">
      <c r="A16" t="s">
        <v>54</v>
      </c>
      <c r="B16" t="s">
        <v>23</v>
      </c>
      <c r="C16" t="s">
        <v>163</v>
      </c>
      <c r="D16" t="s">
        <v>164</v>
      </c>
      <c r="E16" t="s">
        <v>165</v>
      </c>
      <c r="F16" t="s">
        <v>166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</row>
    <row r="17" spans="1:43" x14ac:dyDescent="0.35">
      <c r="A17" t="s">
        <v>53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</row>
    <row r="18" spans="1:43" x14ac:dyDescent="0.35">
      <c r="A18" t="s">
        <v>52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</row>
    <row r="19" spans="1:43" x14ac:dyDescent="0.35">
      <c r="A19" t="s">
        <v>51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</row>
    <row r="20" spans="1:43" x14ac:dyDescent="0.35">
      <c r="A20" t="s">
        <v>50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</row>
    <row r="21" spans="1:43" x14ac:dyDescent="0.35">
      <c r="A21">
        <v>604000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</row>
    <row r="22" spans="1:43" x14ac:dyDescent="0.35">
      <c r="A22">
        <v>603000</v>
      </c>
      <c r="B22" t="s">
        <v>8</v>
      </c>
      <c r="C22" t="s">
        <v>192</v>
      </c>
      <c r="D22" t="s">
        <v>193</v>
      </c>
      <c r="E22" t="s">
        <v>194</v>
      </c>
      <c r="F22" t="s">
        <v>195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</row>
    <row r="23" spans="1:43" x14ac:dyDescent="0.35">
      <c r="A23">
        <v>602000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</row>
    <row r="24" spans="1:43" x14ac:dyDescent="0.35">
      <c r="A24">
        <v>601000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</row>
    <row r="25" spans="1:43" x14ac:dyDescent="0.35">
      <c r="A25">
        <v>586000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</row>
    <row r="26" spans="1:43" x14ac:dyDescent="0.35">
      <c r="A26">
        <v>585000</v>
      </c>
      <c r="B26" t="s">
        <v>211</v>
      </c>
      <c r="C26" t="s">
        <v>212</v>
      </c>
      <c r="D26" t="s">
        <v>213</v>
      </c>
      <c r="E26" t="s">
        <v>214</v>
      </c>
      <c r="F26" t="s">
        <v>215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</row>
    <row r="27" spans="1:43" x14ac:dyDescent="0.35">
      <c r="A27">
        <v>584000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</row>
    <row r="28" spans="1:43" x14ac:dyDescent="0.35">
      <c r="A28">
        <v>583000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</row>
    <row r="29" spans="1:43" x14ac:dyDescent="0.35">
      <c r="A29">
        <v>582000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</row>
    <row r="30" spans="1:43" x14ac:dyDescent="0.35">
      <c r="A30">
        <v>581000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</row>
    <row r="31" spans="1:43" x14ac:dyDescent="0.35">
      <c r="A31">
        <v>572000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</row>
    <row r="32" spans="1:43" x14ac:dyDescent="0.35">
      <c r="A32">
        <v>571000</v>
      </c>
      <c r="B32" t="s">
        <v>241</v>
      </c>
      <c r="C32" t="s">
        <v>242</v>
      </c>
      <c r="D32" t="s">
        <v>243</v>
      </c>
      <c r="E32" t="s">
        <v>244</v>
      </c>
      <c r="F32" t="s">
        <v>245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</row>
    <row r="33" spans="1:43" x14ac:dyDescent="0.35">
      <c r="A33">
        <v>560000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</row>
    <row r="34" spans="1:43" x14ac:dyDescent="0.35">
      <c r="A34">
        <v>517000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</row>
    <row r="35" spans="1:43" x14ac:dyDescent="0.35">
      <c r="A35">
        <v>516000</v>
      </c>
      <c r="B35" t="s">
        <v>256</v>
      </c>
      <c r="C35" t="s">
        <v>257</v>
      </c>
      <c r="D35" t="s">
        <v>258</v>
      </c>
      <c r="E35" t="s">
        <v>259</v>
      </c>
      <c r="F35" t="s">
        <v>260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</row>
    <row r="36" spans="1:43" x14ac:dyDescent="0.35">
      <c r="A36">
        <v>515000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</row>
    <row r="37" spans="1:43" x14ac:dyDescent="0.35">
      <c r="A37">
        <v>514000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</row>
    <row r="38" spans="1:43" x14ac:dyDescent="0.35">
      <c r="A38">
        <v>513000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</row>
    <row r="39" spans="1:43" x14ac:dyDescent="0.35">
      <c r="A39" t="s">
        <v>18</v>
      </c>
      <c r="B39" t="s">
        <v>276</v>
      </c>
      <c r="C39" t="s">
        <v>277</v>
      </c>
      <c r="D39" t="s">
        <v>278</v>
      </c>
      <c r="E39" t="s">
        <v>279</v>
      </c>
      <c r="F39" t="s">
        <v>280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</row>
    <row r="40" spans="1:43" x14ac:dyDescent="0.35">
      <c r="A40">
        <v>512000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</row>
    <row r="41" spans="1:43" x14ac:dyDescent="0.35">
      <c r="A41">
        <v>314600</v>
      </c>
      <c r="B41" t="s">
        <v>286</v>
      </c>
      <c r="C41" t="s">
        <v>287</v>
      </c>
      <c r="D41" t="s">
        <v>288</v>
      </c>
      <c r="E41" t="s">
        <v>289</v>
      </c>
      <c r="F41" t="s">
        <v>290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</row>
    <row r="42" spans="1:43" x14ac:dyDescent="0.35">
      <c r="A42">
        <v>262100</v>
      </c>
      <c r="B42" t="s">
        <v>291</v>
      </c>
      <c r="C42" t="s">
        <v>292</v>
      </c>
      <c r="D42" t="s">
        <v>293</v>
      </c>
      <c r="E42" t="s">
        <v>294</v>
      </c>
      <c r="F42" t="s">
        <v>295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</row>
    <row r="43" spans="1:43" x14ac:dyDescent="0.35">
      <c r="A43">
        <v>261100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</row>
    <row r="44" spans="1:43" x14ac:dyDescent="0.35">
      <c r="A44">
        <v>251000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</row>
    <row r="45" spans="1:43" x14ac:dyDescent="0.35">
      <c r="A45" t="s">
        <v>49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</row>
    <row r="46" spans="1:43" x14ac:dyDescent="0.35">
      <c r="A46">
        <v>242600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</row>
    <row r="47" spans="1:43" x14ac:dyDescent="0.35">
      <c r="A47">
        <v>242500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</row>
    <row r="48" spans="1:43" x14ac:dyDescent="0.35">
      <c r="A48">
        <v>242400</v>
      </c>
      <c r="B48" t="s">
        <v>321</v>
      </c>
      <c r="C48" t="s">
        <v>322</v>
      </c>
      <c r="D48" t="s">
        <v>323</v>
      </c>
      <c r="E48" t="s">
        <v>324</v>
      </c>
      <c r="F48" t="s">
        <v>325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</row>
    <row r="49" spans="1:43" x14ac:dyDescent="0.35">
      <c r="A49">
        <v>242300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</row>
    <row r="50" spans="1:43" x14ac:dyDescent="0.35">
      <c r="A50">
        <v>242200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</row>
    <row r="51" spans="1:43" x14ac:dyDescent="0.35">
      <c r="A51">
        <v>242100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</row>
    <row r="52" spans="1:43" x14ac:dyDescent="0.35">
      <c r="A52">
        <v>241100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</row>
    <row r="53" spans="1:43" x14ac:dyDescent="0.35">
      <c r="A53">
        <v>221600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</row>
    <row r="54" spans="1:43" x14ac:dyDescent="0.35">
      <c r="A54">
        <v>221500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</row>
    <row r="55" spans="1:43" x14ac:dyDescent="0.35">
      <c r="A55">
        <v>221400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</row>
    <row r="56" spans="1:43" x14ac:dyDescent="0.35">
      <c r="A56">
        <v>221300</v>
      </c>
      <c r="B56" t="s">
        <v>361</v>
      </c>
      <c r="C56" t="s">
        <v>362</v>
      </c>
      <c r="D56" t="s">
        <v>363</v>
      </c>
      <c r="E56" t="s">
        <v>364</v>
      </c>
      <c r="F56" t="s">
        <v>365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</row>
    <row r="57" spans="1:43" x14ac:dyDescent="0.35">
      <c r="A57">
        <v>221200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</row>
    <row r="58" spans="1:43" x14ac:dyDescent="0.35">
      <c r="A58">
        <v>221100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</row>
    <row r="59" spans="1:43" x14ac:dyDescent="0.35">
      <c r="A59">
        <v>214200</v>
      </c>
      <c r="B59" t="s">
        <v>376</v>
      </c>
      <c r="C59" t="s">
        <v>377</v>
      </c>
      <c r="D59" t="s">
        <v>378</v>
      </c>
      <c r="E59" t="s">
        <v>379</v>
      </c>
      <c r="F59" t="s">
        <v>380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</row>
    <row r="60" spans="1:43" x14ac:dyDescent="0.35">
      <c r="A60">
        <v>214100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</row>
    <row r="61" spans="1:43" x14ac:dyDescent="0.35">
      <c r="A61">
        <v>213000</v>
      </c>
      <c r="B61" t="s">
        <v>386</v>
      </c>
      <c r="C61" t="s">
        <v>387</v>
      </c>
      <c r="D61" t="s">
        <v>388</v>
      </c>
      <c r="E61" t="s">
        <v>389</v>
      </c>
      <c r="F61" t="s">
        <v>390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</row>
    <row r="62" spans="1:43" x14ac:dyDescent="0.35">
      <c r="A62">
        <v>211900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</row>
    <row r="63" spans="1:43" x14ac:dyDescent="0.35">
      <c r="A63">
        <v>211800</v>
      </c>
      <c r="B63" t="s">
        <v>396</v>
      </c>
      <c r="C63" t="s">
        <v>377</v>
      </c>
      <c r="D63" t="s">
        <v>397</v>
      </c>
      <c r="E63" t="s">
        <v>379</v>
      </c>
      <c r="F63" t="s">
        <v>398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</row>
    <row r="64" spans="1:43" x14ac:dyDescent="0.35">
      <c r="A64">
        <v>211700</v>
      </c>
      <c r="B64" t="s">
        <v>399</v>
      </c>
      <c r="C64" t="s">
        <v>400</v>
      </c>
      <c r="D64" t="s">
        <v>401</v>
      </c>
      <c r="E64" t="s">
        <v>402</v>
      </c>
      <c r="F64" t="s">
        <v>403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</row>
    <row r="65" spans="1:43" x14ac:dyDescent="0.35">
      <c r="A65">
        <v>211600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</row>
    <row r="66" spans="1:43" x14ac:dyDescent="0.35">
      <c r="A66">
        <v>211500</v>
      </c>
      <c r="B66" t="s">
        <v>409</v>
      </c>
      <c r="C66" t="s">
        <v>410</v>
      </c>
      <c r="D66" t="s">
        <v>411</v>
      </c>
      <c r="E66" t="s">
        <v>412</v>
      </c>
      <c r="F66" t="s">
        <v>413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</row>
    <row r="67" spans="1:43" x14ac:dyDescent="0.35">
      <c r="A67">
        <v>211400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</row>
    <row r="68" spans="1:43" x14ac:dyDescent="0.35">
      <c r="A68">
        <v>211300</v>
      </c>
      <c r="B68" t="s">
        <v>419</v>
      </c>
      <c r="C68" t="s">
        <v>420</v>
      </c>
      <c r="D68" t="s">
        <v>421</v>
      </c>
      <c r="E68" t="s">
        <v>422</v>
      </c>
      <c r="F68" t="s">
        <v>423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</row>
    <row r="69" spans="1:43" x14ac:dyDescent="0.35">
      <c r="A69">
        <v>211200</v>
      </c>
      <c r="B69" t="s">
        <v>424</v>
      </c>
      <c r="C69" t="s">
        <v>425</v>
      </c>
      <c r="D69" t="s">
        <v>426</v>
      </c>
      <c r="E69" t="s">
        <v>427</v>
      </c>
      <c r="F69" t="s">
        <v>428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</row>
    <row r="70" spans="1:43" x14ac:dyDescent="0.35">
      <c r="A70">
        <v>314500</v>
      </c>
      <c r="B70" t="s">
        <v>429</v>
      </c>
      <c r="C70" t="s">
        <v>430</v>
      </c>
      <c r="D70" t="s">
        <v>431</v>
      </c>
      <c r="E70" t="s">
        <v>432</v>
      </c>
      <c r="F70" t="s">
        <v>433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</row>
    <row r="71" spans="1:43" x14ac:dyDescent="0.35">
      <c r="A71">
        <v>314400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</row>
    <row r="72" spans="1:43" x14ac:dyDescent="0.35">
      <c r="A72">
        <v>314300</v>
      </c>
      <c r="B72" t="s">
        <v>439</v>
      </c>
      <c r="C72" t="s">
        <v>440</v>
      </c>
      <c r="D72" t="s">
        <v>441</v>
      </c>
      <c r="E72" t="s">
        <v>442</v>
      </c>
      <c r="F72" t="s">
        <v>443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</row>
    <row r="73" spans="1:43" x14ac:dyDescent="0.35">
      <c r="A73">
        <v>314200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</row>
    <row r="74" spans="1:43" x14ac:dyDescent="0.35">
      <c r="A74">
        <v>314000</v>
      </c>
      <c r="B74" t="s">
        <v>449</v>
      </c>
      <c r="C74" t="s">
        <v>450</v>
      </c>
      <c r="D74" t="s">
        <v>451</v>
      </c>
      <c r="E74" t="s">
        <v>452</v>
      </c>
      <c r="F74" t="s">
        <v>453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</row>
    <row r="75" spans="1:43" x14ac:dyDescent="0.35">
      <c r="A75">
        <v>313000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</row>
    <row r="76" spans="1:43" x14ac:dyDescent="0.35">
      <c r="A76">
        <v>312000</v>
      </c>
      <c r="B76" t="s">
        <v>459</v>
      </c>
      <c r="C76" t="s">
        <v>460</v>
      </c>
      <c r="D76" t="s">
        <v>461</v>
      </c>
      <c r="E76" t="s">
        <v>462</v>
      </c>
      <c r="F76" t="s">
        <v>463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</row>
    <row r="77" spans="1:43" x14ac:dyDescent="0.35">
      <c r="A77">
        <v>311000</v>
      </c>
      <c r="B77" t="s">
        <v>464</v>
      </c>
      <c r="C77" t="s">
        <v>465</v>
      </c>
      <c r="D77" t="s">
        <v>466</v>
      </c>
      <c r="E77" t="s">
        <v>467</v>
      </c>
      <c r="F77" t="s">
        <v>468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</row>
    <row r="78" spans="1:43" x14ac:dyDescent="0.35">
      <c r="A78">
        <v>283100</v>
      </c>
      <c r="B78" t="s">
        <v>469</v>
      </c>
      <c r="C78" t="s">
        <v>470</v>
      </c>
      <c r="D78" t="s">
        <v>471</v>
      </c>
      <c r="E78" t="s">
        <v>472</v>
      </c>
      <c r="F78" t="s">
        <v>473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</row>
    <row r="79" spans="1:43" x14ac:dyDescent="0.35">
      <c r="A79">
        <v>282100</v>
      </c>
      <c r="B79" t="s">
        <v>474</v>
      </c>
      <c r="C79" t="s">
        <v>475</v>
      </c>
      <c r="D79" t="s">
        <v>476</v>
      </c>
      <c r="E79" t="s">
        <v>477</v>
      </c>
      <c r="F79" t="s">
        <v>478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</row>
    <row r="80" spans="1:43" x14ac:dyDescent="0.35">
      <c r="A80">
        <v>281600</v>
      </c>
      <c r="B80" t="s">
        <v>479</v>
      </c>
      <c r="C80" t="s">
        <v>470</v>
      </c>
      <c r="D80" t="s">
        <v>480</v>
      </c>
      <c r="E80" t="s">
        <v>472</v>
      </c>
      <c r="F80" t="s">
        <v>481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</row>
    <row r="81" spans="1:43" x14ac:dyDescent="0.35">
      <c r="A81">
        <v>281500</v>
      </c>
      <c r="B81" t="s">
        <v>482</v>
      </c>
      <c r="C81" t="s">
        <v>483</v>
      </c>
      <c r="D81" t="s">
        <v>484</v>
      </c>
      <c r="E81" t="s">
        <v>485</v>
      </c>
      <c r="F81" t="s">
        <v>486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</row>
    <row r="82" spans="1:43" x14ac:dyDescent="0.35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</row>
    <row r="83" spans="1:43" x14ac:dyDescent="0.35">
      <c r="A83">
        <v>281400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</row>
    <row r="84" spans="1:43" x14ac:dyDescent="0.35">
      <c r="A84">
        <v>281300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</row>
    <row r="85" spans="1:43" x14ac:dyDescent="0.35">
      <c r="A85">
        <v>281200</v>
      </c>
      <c r="B85" t="s">
        <v>503</v>
      </c>
      <c r="C85" t="s">
        <v>504</v>
      </c>
      <c r="D85" t="s">
        <v>505</v>
      </c>
      <c r="E85" t="s">
        <v>506</v>
      </c>
      <c r="F85" t="s">
        <v>507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</row>
    <row r="86" spans="1:43" x14ac:dyDescent="0.35">
      <c r="A86">
        <v>281100</v>
      </c>
      <c r="B86" t="s">
        <v>508</v>
      </c>
      <c r="C86" t="s">
        <v>509</v>
      </c>
      <c r="D86" t="s">
        <v>510</v>
      </c>
      <c r="E86" t="s">
        <v>511</v>
      </c>
      <c r="F86" t="s">
        <v>512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</row>
    <row r="87" spans="1:43" x14ac:dyDescent="0.35">
      <c r="A87">
        <v>271500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</row>
    <row r="88" spans="1:43" x14ac:dyDescent="0.35">
      <c r="A88">
        <v>271400</v>
      </c>
      <c r="B88" t="s">
        <v>518</v>
      </c>
      <c r="C88" t="s">
        <v>519</v>
      </c>
      <c r="D88" t="s">
        <v>520</v>
      </c>
      <c r="E88" t="s">
        <v>521</v>
      </c>
      <c r="F88" t="s">
        <v>522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</row>
    <row r="89" spans="1:43" x14ac:dyDescent="0.35">
      <c r="A89">
        <v>271300</v>
      </c>
      <c r="B89" t="s">
        <v>523</v>
      </c>
      <c r="C89" t="s">
        <v>524</v>
      </c>
      <c r="D89" t="s">
        <v>525</v>
      </c>
      <c r="E89" t="s">
        <v>526</v>
      </c>
      <c r="F89" t="s">
        <v>527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</row>
    <row r="90" spans="1:43" x14ac:dyDescent="0.35">
      <c r="A90">
        <v>271200</v>
      </c>
      <c r="B90" t="s">
        <v>528</v>
      </c>
      <c r="C90" t="s">
        <v>529</v>
      </c>
      <c r="D90" t="s">
        <v>530</v>
      </c>
      <c r="E90" t="s">
        <v>531</v>
      </c>
      <c r="F90" t="s">
        <v>532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</row>
    <row r="91" spans="1:43" x14ac:dyDescent="0.35">
      <c r="A91">
        <v>271100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</row>
    <row r="92" spans="1:43" x14ac:dyDescent="0.35">
      <c r="A92">
        <v>262600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</row>
    <row r="93" spans="1:43" x14ac:dyDescent="0.35">
      <c r="A93">
        <v>262500</v>
      </c>
      <c r="B93" t="s">
        <v>543</v>
      </c>
      <c r="C93" t="s">
        <v>544</v>
      </c>
      <c r="D93" t="s">
        <v>545</v>
      </c>
      <c r="E93" t="s">
        <v>546</v>
      </c>
      <c r="F93" t="s">
        <v>547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</row>
    <row r="94" spans="1:43" x14ac:dyDescent="0.35">
      <c r="A94">
        <v>262400</v>
      </c>
      <c r="B94" t="s">
        <v>548</v>
      </c>
      <c r="C94" t="s">
        <v>549</v>
      </c>
      <c r="D94" t="s">
        <v>550</v>
      </c>
      <c r="E94" t="s">
        <v>551</v>
      </c>
      <c r="F94" t="s">
        <v>552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</row>
    <row r="95" spans="1:43" x14ac:dyDescent="0.35">
      <c r="A95" t="s">
        <v>16</v>
      </c>
      <c r="B95" t="s">
        <v>553</v>
      </c>
      <c r="C95" t="s">
        <v>554</v>
      </c>
      <c r="D95" t="s">
        <v>555</v>
      </c>
      <c r="E95" t="s">
        <v>556</v>
      </c>
      <c r="F95" t="s">
        <v>557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</row>
    <row r="96" spans="1:43" x14ac:dyDescent="0.35">
      <c r="A96">
        <v>262300</v>
      </c>
      <c r="B96" t="s">
        <v>558</v>
      </c>
      <c r="C96" t="s">
        <v>559</v>
      </c>
      <c r="D96" t="s">
        <v>560</v>
      </c>
      <c r="E96" t="s">
        <v>561</v>
      </c>
      <c r="F96" t="s">
        <v>562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</row>
    <row r="97" spans="1:43" x14ac:dyDescent="0.35">
      <c r="A97">
        <v>262200</v>
      </c>
      <c r="B97" t="s">
        <v>563</v>
      </c>
      <c r="C97" t="s">
        <v>564</v>
      </c>
      <c r="D97" t="s">
        <v>565</v>
      </c>
      <c r="E97" t="s">
        <v>566</v>
      </c>
      <c r="F97" t="s">
        <v>567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</row>
    <row r="98" spans="1:43" x14ac:dyDescent="0.35">
      <c r="A98" t="s">
        <v>568</v>
      </c>
      <c r="B98" t="s">
        <v>569</v>
      </c>
      <c r="C98" t="s">
        <v>570</v>
      </c>
      <c r="D98" t="s">
        <v>571</v>
      </c>
      <c r="E98" t="s">
        <v>572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</row>
    <row r="99" spans="1:43" x14ac:dyDescent="0.35">
      <c r="A99" t="s">
        <v>573</v>
      </c>
      <c r="B99" t="s">
        <v>574</v>
      </c>
      <c r="C99" t="s">
        <v>575</v>
      </c>
      <c r="D99" t="s">
        <v>576</v>
      </c>
      <c r="E99" t="s">
        <v>577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</row>
    <row r="100" spans="1:43" x14ac:dyDescent="0.35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</row>
    <row r="101" spans="1:43" x14ac:dyDescent="0.35">
      <c r="A101" t="s">
        <v>583</v>
      </c>
      <c r="B101" t="s">
        <v>584</v>
      </c>
      <c r="C101" t="s">
        <v>585</v>
      </c>
      <c r="D101" t="s">
        <v>586</v>
      </c>
      <c r="E101" t="s">
        <v>587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</row>
    <row r="102" spans="1:43" x14ac:dyDescent="0.35">
      <c r="A102" t="s">
        <v>588</v>
      </c>
      <c r="B102" t="s">
        <v>589</v>
      </c>
      <c r="C102" t="s">
        <v>590</v>
      </c>
      <c r="D102" t="s">
        <v>591</v>
      </c>
      <c r="E102" t="s">
        <v>592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</row>
    <row r="103" spans="1:43" x14ac:dyDescent="0.35">
      <c r="A103" t="s">
        <v>593</v>
      </c>
      <c r="B103" t="s">
        <v>594</v>
      </c>
      <c r="C103" t="s">
        <v>595</v>
      </c>
      <c r="D103" t="s">
        <v>596</v>
      </c>
      <c r="E103" t="s">
        <v>597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</row>
    <row r="104" spans="1:43" x14ac:dyDescent="0.35">
      <c r="A104" t="s">
        <v>598</v>
      </c>
      <c r="B104" t="s">
        <v>599</v>
      </c>
      <c r="C104" t="s">
        <v>600</v>
      </c>
      <c r="D104" t="s">
        <v>601</v>
      </c>
      <c r="E104" t="s">
        <v>602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</row>
    <row r="105" spans="1:43" x14ac:dyDescent="0.35">
      <c r="A105" t="s">
        <v>603</v>
      </c>
      <c r="B105" t="s">
        <v>604</v>
      </c>
      <c r="C105" t="s">
        <v>605</v>
      </c>
      <c r="D105" t="s">
        <v>606</v>
      </c>
      <c r="E105" t="s">
        <v>607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</row>
    <row r="106" spans="1:43" x14ac:dyDescent="0.35">
      <c r="A106" t="s">
        <v>608</v>
      </c>
      <c r="B106" t="s">
        <v>609</v>
      </c>
      <c r="C106" t="s">
        <v>610</v>
      </c>
      <c r="D106" t="s">
        <v>611</v>
      </c>
      <c r="E106" t="s">
        <v>612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</row>
    <row r="107" spans="1:43" x14ac:dyDescent="0.35">
      <c r="A107" t="s">
        <v>613</v>
      </c>
      <c r="B107" t="s">
        <v>614</v>
      </c>
      <c r="C107" t="s">
        <v>615</v>
      </c>
      <c r="D107" t="s">
        <v>616</v>
      </c>
      <c r="E107" t="s">
        <v>617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</row>
    <row r="108" spans="1:43" x14ac:dyDescent="0.35">
      <c r="A108" t="s">
        <v>618</v>
      </c>
      <c r="B108" t="s">
        <v>619</v>
      </c>
      <c r="C108" t="s">
        <v>620</v>
      </c>
      <c r="D108" t="s">
        <v>621</v>
      </c>
      <c r="E108" t="s">
        <v>622</v>
      </c>
      <c r="F108" t="s">
        <v>623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</row>
    <row r="109" spans="1:43" x14ac:dyDescent="0.35">
      <c r="A109" t="s">
        <v>624</v>
      </c>
      <c r="B109" t="s">
        <v>625</v>
      </c>
      <c r="C109" t="s">
        <v>626</v>
      </c>
      <c r="D109" t="s">
        <v>627</v>
      </c>
      <c r="E109" t="s">
        <v>628</v>
      </c>
      <c r="F109" t="s">
        <v>629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</row>
    <row r="110" spans="1:43" x14ac:dyDescent="0.35">
      <c r="A110" t="s">
        <v>630</v>
      </c>
      <c r="B110" t="s">
        <v>631</v>
      </c>
      <c r="C110" t="s">
        <v>632</v>
      </c>
      <c r="D110" t="s">
        <v>633</v>
      </c>
      <c r="E110" t="s">
        <v>634</v>
      </c>
      <c r="F110" t="s">
        <v>635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</row>
    <row r="111" spans="1:43" x14ac:dyDescent="0.35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</row>
    <row r="112" spans="1:43" x14ac:dyDescent="0.35">
      <c r="A112">
        <v>799000</v>
      </c>
      <c r="B112" t="s">
        <v>642</v>
      </c>
      <c r="C112" t="s">
        <v>643</v>
      </c>
      <c r="D112" t="s">
        <v>644</v>
      </c>
      <c r="E112" t="s">
        <v>645</v>
      </c>
      <c r="F112" t="s">
        <v>646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</row>
    <row r="113" spans="1:43" x14ac:dyDescent="0.35">
      <c r="A113">
        <v>319000</v>
      </c>
      <c r="B113" t="s">
        <v>647</v>
      </c>
      <c r="C113" t="s">
        <v>648</v>
      </c>
      <c r="D113" t="s">
        <v>649</v>
      </c>
      <c r="E113" t="s">
        <v>650</v>
      </c>
      <c r="F113" t="s">
        <v>651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</row>
    <row r="114" spans="1:43" x14ac:dyDescent="0.35">
      <c r="A114">
        <v>799999</v>
      </c>
      <c r="B114" t="s">
        <v>652</v>
      </c>
      <c r="C114" t="s">
        <v>653</v>
      </c>
      <c r="D114" t="s">
        <v>654</v>
      </c>
      <c r="E114" t="s">
        <v>655</v>
      </c>
      <c r="F114" t="s">
        <v>656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</row>
    <row r="115" spans="1:43" x14ac:dyDescent="0.35">
      <c r="A115">
        <v>314100</v>
      </c>
      <c r="B115" t="s">
        <v>657</v>
      </c>
      <c r="C115" t="s">
        <v>658</v>
      </c>
      <c r="D115" t="s">
        <v>659</v>
      </c>
      <c r="E115" t="s">
        <v>660</v>
      </c>
      <c r="F115" t="s">
        <v>661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</row>
    <row r="116" spans="1:43" x14ac:dyDescent="0.35">
      <c r="A116">
        <v>792000</v>
      </c>
      <c r="B116" t="s">
        <v>662</v>
      </c>
      <c r="C116" t="s">
        <v>663</v>
      </c>
      <c r="D116" t="s">
        <v>664</v>
      </c>
      <c r="E116" t="s">
        <v>665</v>
      </c>
      <c r="F116" t="s">
        <v>666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</row>
    <row r="117" spans="1:43" x14ac:dyDescent="0.35">
      <c r="A117">
        <v>730000</v>
      </c>
      <c r="B117" t="s">
        <v>667</v>
      </c>
      <c r="C117" t="s">
        <v>668</v>
      </c>
      <c r="D117" t="s">
        <v>669</v>
      </c>
      <c r="E117" t="s">
        <v>670</v>
      </c>
      <c r="F117" t="s">
        <v>671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</row>
    <row r="118" spans="1:43" x14ac:dyDescent="0.35">
      <c r="A118">
        <v>722000</v>
      </c>
      <c r="B118" t="s">
        <v>672</v>
      </c>
      <c r="C118" t="s">
        <v>673</v>
      </c>
      <c r="D118" t="s">
        <v>674</v>
      </c>
      <c r="E118" t="s">
        <v>675</v>
      </c>
      <c r="F118" t="s">
        <v>676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</row>
    <row r="119" spans="1:43" x14ac:dyDescent="0.35">
      <c r="A119">
        <v>721000</v>
      </c>
      <c r="B119" t="s">
        <v>677</v>
      </c>
      <c r="C119" t="s">
        <v>678</v>
      </c>
      <c r="D119" t="s">
        <v>679</v>
      </c>
      <c r="E119" t="s">
        <v>680</v>
      </c>
      <c r="F119" t="s">
        <v>679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</row>
    <row r="120" spans="1:43" x14ac:dyDescent="0.35">
      <c r="A120">
        <v>711000</v>
      </c>
      <c r="B120" t="s">
        <v>681</v>
      </c>
      <c r="C120" t="s">
        <v>682</v>
      </c>
      <c r="D120" t="s">
        <v>683</v>
      </c>
      <c r="E120" t="s">
        <v>684</v>
      </c>
      <c r="F120" t="s">
        <v>685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</row>
    <row r="121" spans="1:43" x14ac:dyDescent="0.35">
      <c r="A121">
        <v>653000</v>
      </c>
      <c r="B121" t="s">
        <v>686</v>
      </c>
      <c r="C121" t="s">
        <v>687</v>
      </c>
      <c r="D121" t="s">
        <v>688</v>
      </c>
      <c r="E121" t="s">
        <v>689</v>
      </c>
      <c r="F121" t="s">
        <v>690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</row>
    <row r="122" spans="1:43" x14ac:dyDescent="0.35">
      <c r="A122">
        <v>652000</v>
      </c>
      <c r="B122" t="s">
        <v>691</v>
      </c>
      <c r="C122" t="s">
        <v>692</v>
      </c>
      <c r="D122" t="s">
        <v>693</v>
      </c>
      <c r="E122" t="s">
        <v>694</v>
      </c>
      <c r="F122" t="s">
        <v>695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</row>
    <row r="123" spans="1:43" x14ac:dyDescent="0.35">
      <c r="A123">
        <v>651000</v>
      </c>
      <c r="B123" t="s">
        <v>696</v>
      </c>
      <c r="C123" t="s">
        <v>697</v>
      </c>
      <c r="D123" t="s">
        <v>698</v>
      </c>
      <c r="E123" t="s">
        <v>699</v>
      </c>
      <c r="F123" t="s">
        <v>700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</row>
    <row r="124" spans="1:43" x14ac:dyDescent="0.35">
      <c r="A124" t="s">
        <v>19</v>
      </c>
      <c r="B124" t="s">
        <v>701</v>
      </c>
      <c r="C124" t="s">
        <v>702</v>
      </c>
      <c r="D124" t="s">
        <v>703</v>
      </c>
      <c r="E124" t="s">
        <v>704</v>
      </c>
      <c r="F124" t="s">
        <v>705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</row>
    <row r="125" spans="1:43" x14ac:dyDescent="0.35">
      <c r="A125" t="s">
        <v>706</v>
      </c>
      <c r="B125" t="s">
        <v>707</v>
      </c>
      <c r="C125" t="s">
        <v>708</v>
      </c>
      <c r="D125" t="s">
        <v>709</v>
      </c>
      <c r="E125" t="s">
        <v>710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</row>
    <row r="126" spans="1:43" x14ac:dyDescent="0.35">
      <c r="A126" t="s">
        <v>711</v>
      </c>
      <c r="B126" t="s">
        <v>712</v>
      </c>
      <c r="C126" t="s">
        <v>129</v>
      </c>
      <c r="D126" t="s">
        <v>130</v>
      </c>
      <c r="E126" t="s">
        <v>713</v>
      </c>
      <c r="G126" t="s">
        <v>102</v>
      </c>
      <c r="H126" t="s">
        <v>102</v>
      </c>
      <c r="I126" t="s">
        <v>102</v>
      </c>
      <c r="J126" t="s">
        <v>102</v>
      </c>
      <c r="K126" t="s">
        <v>102</v>
      </c>
      <c r="L126" t="s">
        <v>102</v>
      </c>
      <c r="M126" t="s">
        <v>102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</row>
    <row r="127" spans="1:43" x14ac:dyDescent="0.35">
      <c r="A127" t="s">
        <v>714</v>
      </c>
      <c r="B127" t="s">
        <v>715</v>
      </c>
      <c r="C127" t="s">
        <v>134</v>
      </c>
      <c r="D127" t="s">
        <v>135</v>
      </c>
      <c r="E127" t="s">
        <v>716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</row>
    <row r="128" spans="1:43" x14ac:dyDescent="0.35">
      <c r="A128" t="s">
        <v>717</v>
      </c>
      <c r="B128" t="s">
        <v>718</v>
      </c>
      <c r="C128" t="s">
        <v>139</v>
      </c>
      <c r="D128" t="s">
        <v>719</v>
      </c>
      <c r="E128" t="s">
        <v>720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</row>
    <row r="129" spans="1:43" x14ac:dyDescent="0.35">
      <c r="A129" t="s">
        <v>721</v>
      </c>
      <c r="B129" t="s">
        <v>722</v>
      </c>
      <c r="C129" t="s">
        <v>144</v>
      </c>
      <c r="D129" t="s">
        <v>723</v>
      </c>
      <c r="E129" t="s">
        <v>724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</row>
    <row r="130" spans="1:43" x14ac:dyDescent="0.35">
      <c r="A130" t="s">
        <v>725</v>
      </c>
      <c r="B130" t="s">
        <v>726</v>
      </c>
      <c r="C130" t="s">
        <v>727</v>
      </c>
      <c r="D130" t="s">
        <v>728</v>
      </c>
      <c r="E130" t="s">
        <v>729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</row>
    <row r="131" spans="1:43" x14ac:dyDescent="0.35">
      <c r="A131" t="s">
        <v>730</v>
      </c>
      <c r="B131" t="s">
        <v>439</v>
      </c>
      <c r="C131" t="s">
        <v>440</v>
      </c>
      <c r="D131" t="s">
        <v>441</v>
      </c>
      <c r="E131" t="s">
        <v>442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M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</row>
    <row r="132" spans="1:43" x14ac:dyDescent="0.35">
      <c r="A132" t="s">
        <v>731</v>
      </c>
      <c r="B132" t="s">
        <v>732</v>
      </c>
      <c r="C132" t="s">
        <v>733</v>
      </c>
      <c r="D132" t="s">
        <v>734</v>
      </c>
      <c r="E132" t="s">
        <v>735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</row>
    <row r="133" spans="1:43" x14ac:dyDescent="0.35">
      <c r="A133" t="s">
        <v>736</v>
      </c>
      <c r="B133" t="s">
        <v>444</v>
      </c>
      <c r="C133" t="s">
        <v>445</v>
      </c>
      <c r="D133" t="s">
        <v>446</v>
      </c>
      <c r="E133" t="s">
        <v>447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</row>
    <row r="134" spans="1:43" x14ac:dyDescent="0.35">
      <c r="A134" t="s">
        <v>737</v>
      </c>
      <c r="B134" t="s">
        <v>738</v>
      </c>
      <c r="C134" t="s">
        <v>739</v>
      </c>
      <c r="D134" t="s">
        <v>740</v>
      </c>
      <c r="E134" t="s">
        <v>741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</row>
    <row r="135" spans="1:43" x14ac:dyDescent="0.35">
      <c r="A135" t="s">
        <v>742</v>
      </c>
      <c r="B135" t="s">
        <v>743</v>
      </c>
      <c r="C135" t="s">
        <v>744</v>
      </c>
      <c r="D135" t="s">
        <v>745</v>
      </c>
      <c r="E135" t="s">
        <v>746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</row>
    <row r="136" spans="1:43" x14ac:dyDescent="0.35">
      <c r="A136" t="s">
        <v>747</v>
      </c>
      <c r="B136" t="s">
        <v>748</v>
      </c>
      <c r="C136" t="s">
        <v>749</v>
      </c>
      <c r="D136" t="s">
        <v>750</v>
      </c>
      <c r="E136" t="s">
        <v>751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</row>
    <row r="137" spans="1:43" x14ac:dyDescent="0.35">
      <c r="A137" t="s">
        <v>752</v>
      </c>
      <c r="B137" t="s">
        <v>449</v>
      </c>
      <c r="C137" t="s">
        <v>450</v>
      </c>
      <c r="D137" t="s">
        <v>451</v>
      </c>
      <c r="E137" t="s">
        <v>452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</row>
    <row r="138" spans="1:43" x14ac:dyDescent="0.35">
      <c r="A138" t="s">
        <v>753</v>
      </c>
      <c r="B138" t="s">
        <v>754</v>
      </c>
      <c r="C138" t="s">
        <v>755</v>
      </c>
      <c r="D138" t="s">
        <v>756</v>
      </c>
      <c r="E138" t="s">
        <v>757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</row>
    <row r="139" spans="1:43" x14ac:dyDescent="0.35">
      <c r="A139" t="s">
        <v>758</v>
      </c>
      <c r="B139" t="s">
        <v>6</v>
      </c>
      <c r="C139" t="s">
        <v>124</v>
      </c>
      <c r="D139" t="s">
        <v>125</v>
      </c>
      <c r="E139" t="s">
        <v>759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</row>
    <row r="140" spans="1:43" x14ac:dyDescent="0.35">
      <c r="A140" t="s">
        <v>760</v>
      </c>
      <c r="B140" t="s">
        <v>761</v>
      </c>
      <c r="C140" t="s">
        <v>762</v>
      </c>
      <c r="D140" t="s">
        <v>763</v>
      </c>
      <c r="E140" t="s">
        <v>761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</row>
    <row r="141" spans="1:43" x14ac:dyDescent="0.35">
      <c r="A141" t="s">
        <v>764</v>
      </c>
      <c r="B141" t="s">
        <v>765</v>
      </c>
      <c r="C141" t="s">
        <v>119</v>
      </c>
      <c r="D141" t="s">
        <v>766</v>
      </c>
      <c r="E141" t="s">
        <v>121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</row>
    <row r="142" spans="1:43" x14ac:dyDescent="0.35">
      <c r="A142" t="s">
        <v>767</v>
      </c>
      <c r="B142" t="s">
        <v>767</v>
      </c>
      <c r="C142" t="s">
        <v>767</v>
      </c>
      <c r="D142" t="s">
        <v>767</v>
      </c>
      <c r="E142" t="s">
        <v>767</v>
      </c>
      <c r="F142" t="s">
        <v>767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</row>
    <row r="143" spans="1:43" x14ac:dyDescent="0.35">
      <c r="A143" t="s">
        <v>768</v>
      </c>
      <c r="B143" t="s">
        <v>769</v>
      </c>
      <c r="C143" t="s">
        <v>770</v>
      </c>
      <c r="D143" t="s">
        <v>771</v>
      </c>
      <c r="E143" t="s">
        <v>772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</row>
    <row r="144" spans="1:43" x14ac:dyDescent="0.35">
      <c r="A144" t="s">
        <v>773</v>
      </c>
      <c r="B144" t="s">
        <v>774</v>
      </c>
      <c r="C144" t="s">
        <v>775</v>
      </c>
      <c r="D144" t="s">
        <v>776</v>
      </c>
      <c r="E144" t="s">
        <v>777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</row>
    <row r="145" spans="1:43" x14ac:dyDescent="0.35">
      <c r="A145" t="s">
        <v>778</v>
      </c>
      <c r="B145" t="s">
        <v>779</v>
      </c>
      <c r="C145" t="s">
        <v>780</v>
      </c>
      <c r="D145" t="s">
        <v>781</v>
      </c>
      <c r="E145" t="s">
        <v>782</v>
      </c>
      <c r="F145" t="s">
        <v>783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</row>
    <row r="146" spans="1:43" x14ac:dyDescent="0.35">
      <c r="A146" t="s">
        <v>784</v>
      </c>
      <c r="B146" t="s">
        <v>785</v>
      </c>
      <c r="C146" t="s">
        <v>786</v>
      </c>
      <c r="D146" t="s">
        <v>787</v>
      </c>
      <c r="E146" t="s">
        <v>788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</row>
    <row r="147" spans="1:43" x14ac:dyDescent="0.35">
      <c r="A147" t="s">
        <v>789</v>
      </c>
      <c r="B147" t="s">
        <v>790</v>
      </c>
      <c r="C147" t="s">
        <v>791</v>
      </c>
      <c r="D147" t="s">
        <v>792</v>
      </c>
      <c r="E147" t="s">
        <v>793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</row>
    <row r="148" spans="1:43" x14ac:dyDescent="0.35">
      <c r="A148" t="s">
        <v>794</v>
      </c>
      <c r="B148" t="s">
        <v>795</v>
      </c>
      <c r="C148" t="s">
        <v>796</v>
      </c>
      <c r="D148" t="s">
        <v>797</v>
      </c>
      <c r="E148" t="s">
        <v>798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</row>
    <row r="149" spans="1:43" x14ac:dyDescent="0.35">
      <c r="A149" t="s">
        <v>799</v>
      </c>
      <c r="B149" t="s">
        <v>800</v>
      </c>
      <c r="C149" t="s">
        <v>801</v>
      </c>
      <c r="D149" t="s">
        <v>802</v>
      </c>
      <c r="E149" t="s">
        <v>803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</row>
    <row r="150" spans="1:43" x14ac:dyDescent="0.35">
      <c r="A150" t="s">
        <v>804</v>
      </c>
      <c r="B150" t="s">
        <v>805</v>
      </c>
      <c r="C150" t="s">
        <v>806</v>
      </c>
      <c r="D150" t="s">
        <v>807</v>
      </c>
      <c r="E150" t="s">
        <v>808</v>
      </c>
      <c r="G150" t="s">
        <v>102</v>
      </c>
      <c r="H150" t="s">
        <v>102</v>
      </c>
      <c r="I150" t="s">
        <v>102</v>
      </c>
      <c r="J150" t="s">
        <v>102</v>
      </c>
      <c r="K150" t="s">
        <v>102</v>
      </c>
      <c r="L150" t="s">
        <v>102</v>
      </c>
      <c r="M150" t="s">
        <v>102</v>
      </c>
      <c r="N150" t="s">
        <v>102</v>
      </c>
      <c r="O150" t="s">
        <v>102</v>
      </c>
      <c r="P150" t="s">
        <v>102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</row>
    <row r="151" spans="1:43" x14ac:dyDescent="0.35">
      <c r="A151" t="s">
        <v>809</v>
      </c>
      <c r="B151" t="s">
        <v>810</v>
      </c>
      <c r="C151" t="s">
        <v>811</v>
      </c>
      <c r="D151" t="s">
        <v>812</v>
      </c>
      <c r="E151" t="s">
        <v>813</v>
      </c>
      <c r="G151" t="s">
        <v>102</v>
      </c>
      <c r="H151" t="s">
        <v>102</v>
      </c>
      <c r="I151" t="s">
        <v>102</v>
      </c>
      <c r="J151" t="s">
        <v>102</v>
      </c>
      <c r="K151" t="s">
        <v>102</v>
      </c>
      <c r="L151" t="s">
        <v>102</v>
      </c>
      <c r="M151" t="s">
        <v>102</v>
      </c>
      <c r="N151" t="s">
        <v>102</v>
      </c>
      <c r="O151" t="s">
        <v>102</v>
      </c>
      <c r="P151" t="s">
        <v>102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</row>
    <row r="152" spans="1:43" x14ac:dyDescent="0.35">
      <c r="A152" t="s">
        <v>814</v>
      </c>
      <c r="B152" t="s">
        <v>815</v>
      </c>
      <c r="C152" t="s">
        <v>816</v>
      </c>
      <c r="D152" t="s">
        <v>817</v>
      </c>
      <c r="E152" t="s">
        <v>818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</row>
    <row r="153" spans="1:43" x14ac:dyDescent="0.35">
      <c r="A153" t="s">
        <v>15</v>
      </c>
      <c r="B153" t="s">
        <v>819</v>
      </c>
      <c r="C153" t="s">
        <v>820</v>
      </c>
      <c r="D153" t="s">
        <v>821</v>
      </c>
      <c r="E153" t="s">
        <v>822</v>
      </c>
      <c r="F153" t="s">
        <v>823</v>
      </c>
      <c r="G153" t="s">
        <v>102</v>
      </c>
      <c r="H153" t="s">
        <v>102</v>
      </c>
      <c r="I153" t="s">
        <v>102</v>
      </c>
      <c r="J153" t="s">
        <v>102</v>
      </c>
      <c r="K153" t="s">
        <v>102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</row>
    <row r="154" spans="1:43" x14ac:dyDescent="0.35">
      <c r="A154" t="s">
        <v>32</v>
      </c>
      <c r="B154" t="s">
        <v>824</v>
      </c>
      <c r="C154" t="s">
        <v>825</v>
      </c>
      <c r="D154" t="s">
        <v>826</v>
      </c>
      <c r="E154" t="s">
        <v>827</v>
      </c>
      <c r="F154" t="s">
        <v>828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</row>
    <row r="155" spans="1:43" x14ac:dyDescent="0.35">
      <c r="A155" t="s">
        <v>91</v>
      </c>
      <c r="B155" t="s">
        <v>829</v>
      </c>
      <c r="C155" t="s">
        <v>830</v>
      </c>
      <c r="D155" t="s">
        <v>831</v>
      </c>
      <c r="E155" t="s">
        <v>832</v>
      </c>
      <c r="F155" t="s">
        <v>833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</row>
    <row r="156" spans="1:43" x14ac:dyDescent="0.35">
      <c r="A156" t="s">
        <v>834</v>
      </c>
      <c r="B156" t="s">
        <v>835</v>
      </c>
      <c r="C156" t="s">
        <v>836</v>
      </c>
      <c r="D156" t="s">
        <v>837</v>
      </c>
      <c r="E156" t="s">
        <v>838</v>
      </c>
      <c r="F156" t="s">
        <v>839</v>
      </c>
    </row>
    <row r="157" spans="1:43" x14ac:dyDescent="0.35">
      <c r="A157" t="s">
        <v>89</v>
      </c>
      <c r="B157" t="s">
        <v>123</v>
      </c>
      <c r="C157" t="s">
        <v>124</v>
      </c>
      <c r="D157" t="s">
        <v>125</v>
      </c>
      <c r="E157" t="s">
        <v>126</v>
      </c>
      <c r="F157" t="s">
        <v>127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</row>
    <row r="158" spans="1:43" x14ac:dyDescent="0.35">
      <c r="A158" t="s">
        <v>88</v>
      </c>
      <c r="B158" t="s">
        <v>840</v>
      </c>
      <c r="C158" t="s">
        <v>841</v>
      </c>
      <c r="D158" t="s">
        <v>842</v>
      </c>
      <c r="E158" t="s">
        <v>843</v>
      </c>
      <c r="F158" t="s">
        <v>844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</row>
    <row r="159" spans="1:43" x14ac:dyDescent="0.35">
      <c r="A159" t="s">
        <v>87</v>
      </c>
      <c r="B159" t="s">
        <v>454</v>
      </c>
      <c r="C159" t="s">
        <v>455</v>
      </c>
      <c r="D159" t="s">
        <v>456</v>
      </c>
      <c r="E159" t="s">
        <v>457</v>
      </c>
      <c r="F159" t="s">
        <v>458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</row>
    <row r="160" spans="1:43" x14ac:dyDescent="0.35">
      <c r="A160" t="s">
        <v>86</v>
      </c>
      <c r="B160" t="s">
        <v>459</v>
      </c>
      <c r="C160" t="s">
        <v>460</v>
      </c>
      <c r="D160" t="s">
        <v>461</v>
      </c>
      <c r="E160" t="s">
        <v>462</v>
      </c>
      <c r="F160" t="s">
        <v>463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</row>
    <row r="161" spans="1:43" x14ac:dyDescent="0.35">
      <c r="A161" t="s">
        <v>85</v>
      </c>
      <c r="B161" t="s">
        <v>464</v>
      </c>
      <c r="C161" t="s">
        <v>465</v>
      </c>
      <c r="D161" t="s">
        <v>466</v>
      </c>
      <c r="E161" t="s">
        <v>467</v>
      </c>
      <c r="F161" t="s">
        <v>468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</row>
    <row r="162" spans="1:43" x14ac:dyDescent="0.35">
      <c r="A162" t="s">
        <v>90</v>
      </c>
      <c r="B162" t="s">
        <v>845</v>
      </c>
      <c r="C162" t="s">
        <v>846</v>
      </c>
      <c r="D162" t="s">
        <v>847</v>
      </c>
      <c r="E162" t="s">
        <v>848</v>
      </c>
      <c r="F162" t="s">
        <v>849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</row>
    <row r="163" spans="1:43" x14ac:dyDescent="0.35">
      <c r="A163" t="s">
        <v>850</v>
      </c>
      <c r="B163" t="s">
        <v>851</v>
      </c>
      <c r="C163" t="s">
        <v>852</v>
      </c>
      <c r="D163" t="s">
        <v>471</v>
      </c>
      <c r="E163" t="s">
        <v>853</v>
      </c>
      <c r="F163" t="s">
        <v>473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</row>
    <row r="164" spans="1:43" x14ac:dyDescent="0.35">
      <c r="A164" t="s">
        <v>82</v>
      </c>
      <c r="B164" t="s">
        <v>854</v>
      </c>
      <c r="C164" t="s">
        <v>855</v>
      </c>
      <c r="D164" t="s">
        <v>856</v>
      </c>
      <c r="E164" t="s">
        <v>857</v>
      </c>
      <c r="F164" t="s">
        <v>858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</row>
    <row r="165" spans="1:43" x14ac:dyDescent="0.35">
      <c r="A165" t="s">
        <v>81</v>
      </c>
      <c r="B165" t="s">
        <v>859</v>
      </c>
      <c r="C165" t="s">
        <v>860</v>
      </c>
      <c r="D165" t="s">
        <v>861</v>
      </c>
      <c r="E165" t="s">
        <v>862</v>
      </c>
      <c r="F165" t="s">
        <v>863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</row>
    <row r="166" spans="1:43" x14ac:dyDescent="0.35">
      <c r="A166" t="s">
        <v>80</v>
      </c>
      <c r="B166" t="s">
        <v>864</v>
      </c>
      <c r="C166" t="s">
        <v>865</v>
      </c>
      <c r="D166" t="s">
        <v>515</v>
      </c>
      <c r="E166" t="s">
        <v>866</v>
      </c>
      <c r="F166" t="s">
        <v>517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</row>
    <row r="167" spans="1:43" x14ac:dyDescent="0.35">
      <c r="A167" t="s">
        <v>79</v>
      </c>
      <c r="B167" t="s">
        <v>867</v>
      </c>
      <c r="C167" t="s">
        <v>868</v>
      </c>
      <c r="D167" t="s">
        <v>869</v>
      </c>
      <c r="E167" t="s">
        <v>870</v>
      </c>
      <c r="F167" t="s">
        <v>871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</row>
    <row r="168" spans="1:43" x14ac:dyDescent="0.35">
      <c r="A168" t="s">
        <v>78</v>
      </c>
      <c r="B168" t="s">
        <v>872</v>
      </c>
      <c r="C168" t="s">
        <v>873</v>
      </c>
      <c r="D168" t="s">
        <v>298</v>
      </c>
      <c r="E168" t="s">
        <v>874</v>
      </c>
      <c r="F168" t="s">
        <v>875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</row>
    <row r="169" spans="1:43" x14ac:dyDescent="0.35">
      <c r="A169" t="s">
        <v>74</v>
      </c>
      <c r="B169" t="s">
        <v>876</v>
      </c>
      <c r="C169" t="s">
        <v>877</v>
      </c>
      <c r="D169" t="s">
        <v>878</v>
      </c>
      <c r="E169" t="s">
        <v>879</v>
      </c>
      <c r="F169" t="s">
        <v>880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</row>
    <row r="170" spans="1:43" x14ac:dyDescent="0.35">
      <c r="A170" t="s">
        <v>73</v>
      </c>
      <c r="B170" t="s">
        <v>881</v>
      </c>
      <c r="C170" t="s">
        <v>882</v>
      </c>
      <c r="D170" t="s">
        <v>343</v>
      </c>
      <c r="E170" t="s">
        <v>883</v>
      </c>
      <c r="F170" t="s">
        <v>884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</row>
    <row r="171" spans="1:43" x14ac:dyDescent="0.35">
      <c r="A171" t="s">
        <v>72</v>
      </c>
      <c r="B171" t="s">
        <v>885</v>
      </c>
      <c r="C171" t="s">
        <v>886</v>
      </c>
      <c r="D171" t="s">
        <v>348</v>
      </c>
      <c r="E171" t="s">
        <v>887</v>
      </c>
      <c r="F171" t="s">
        <v>350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</row>
    <row r="172" spans="1:43" x14ac:dyDescent="0.35">
      <c r="A172" t="s">
        <v>71</v>
      </c>
      <c r="B172" t="s">
        <v>888</v>
      </c>
      <c r="C172" t="s">
        <v>889</v>
      </c>
      <c r="D172" t="s">
        <v>378</v>
      </c>
      <c r="E172" t="s">
        <v>890</v>
      </c>
      <c r="F172" t="s">
        <v>380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</row>
    <row r="173" spans="1:43" x14ac:dyDescent="0.35">
      <c r="A173" t="s">
        <v>70</v>
      </c>
      <c r="B173" t="s">
        <v>891</v>
      </c>
      <c r="C173" t="s">
        <v>892</v>
      </c>
      <c r="D173" t="s">
        <v>893</v>
      </c>
      <c r="E173" t="s">
        <v>894</v>
      </c>
      <c r="F173" t="s">
        <v>895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</row>
    <row r="174" spans="1:43" x14ac:dyDescent="0.35">
      <c r="A174" t="s">
        <v>69</v>
      </c>
      <c r="B174" t="s">
        <v>896</v>
      </c>
      <c r="C174" t="s">
        <v>897</v>
      </c>
      <c r="D174" t="s">
        <v>898</v>
      </c>
      <c r="E174" t="s">
        <v>899</v>
      </c>
      <c r="F174" t="s">
        <v>900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</row>
    <row r="175" spans="1:43" x14ac:dyDescent="0.35">
      <c r="A175" t="s">
        <v>901</v>
      </c>
      <c r="B175" t="s">
        <v>902</v>
      </c>
      <c r="C175" t="s">
        <v>903</v>
      </c>
      <c r="D175" t="s">
        <v>904</v>
      </c>
      <c r="E175" t="s">
        <v>905</v>
      </c>
      <c r="F175" t="s">
        <v>906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</row>
    <row r="176" spans="1:43" x14ac:dyDescent="0.35">
      <c r="A176" t="s">
        <v>66</v>
      </c>
      <c r="B176" t="s">
        <v>907</v>
      </c>
      <c r="C176" t="s">
        <v>908</v>
      </c>
      <c r="D176" t="s">
        <v>909</v>
      </c>
      <c r="E176" t="s">
        <v>910</v>
      </c>
      <c r="F176" t="s">
        <v>911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</row>
    <row r="177" spans="1:43" x14ac:dyDescent="0.35">
      <c r="A177" t="s">
        <v>65</v>
      </c>
      <c r="B177" t="s">
        <v>912</v>
      </c>
      <c r="C177" t="s">
        <v>913</v>
      </c>
      <c r="D177" t="s">
        <v>914</v>
      </c>
      <c r="E177" t="s">
        <v>915</v>
      </c>
      <c r="F177" t="s">
        <v>916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</row>
    <row r="178" spans="1:43" x14ac:dyDescent="0.35">
      <c r="A178" t="s">
        <v>64</v>
      </c>
      <c r="B178" t="s">
        <v>917</v>
      </c>
      <c r="C178" t="s">
        <v>918</v>
      </c>
      <c r="D178" t="s">
        <v>919</v>
      </c>
      <c r="E178" t="s">
        <v>920</v>
      </c>
      <c r="F178" t="s">
        <v>921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</row>
    <row r="179" spans="1:43" x14ac:dyDescent="0.35">
      <c r="A179" t="s">
        <v>63</v>
      </c>
      <c r="B179" t="s">
        <v>922</v>
      </c>
      <c r="C179" t="s">
        <v>923</v>
      </c>
      <c r="D179" t="s">
        <v>924</v>
      </c>
      <c r="E179" t="s">
        <v>925</v>
      </c>
      <c r="F179" t="s">
        <v>926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</row>
    <row r="180" spans="1:43" x14ac:dyDescent="0.35">
      <c r="A180" t="s">
        <v>62</v>
      </c>
      <c r="B180" t="s">
        <v>927</v>
      </c>
      <c r="C180" t="s">
        <v>928</v>
      </c>
      <c r="D180" t="s">
        <v>929</v>
      </c>
      <c r="E180" t="s">
        <v>930</v>
      </c>
      <c r="F180" t="s">
        <v>931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</row>
    <row r="181" spans="1:43" x14ac:dyDescent="0.35">
      <c r="A181" t="s">
        <v>61</v>
      </c>
      <c r="B181" t="s">
        <v>5</v>
      </c>
      <c r="C181" t="s">
        <v>932</v>
      </c>
      <c r="D181" t="s">
        <v>933</v>
      </c>
      <c r="E181" t="s">
        <v>934</v>
      </c>
      <c r="F181" t="s">
        <v>935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</row>
    <row r="182" spans="1:43" x14ac:dyDescent="0.35">
      <c r="A182" t="s">
        <v>60</v>
      </c>
      <c r="B182" t="s">
        <v>936</v>
      </c>
      <c r="C182" t="s">
        <v>937</v>
      </c>
      <c r="D182" t="s">
        <v>938</v>
      </c>
      <c r="E182" t="s">
        <v>939</v>
      </c>
      <c r="F182" t="s">
        <v>940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</row>
    <row r="183" spans="1:43" x14ac:dyDescent="0.35">
      <c r="A183" t="s">
        <v>43</v>
      </c>
      <c r="B183" t="s">
        <v>941</v>
      </c>
      <c r="C183" t="s">
        <v>942</v>
      </c>
      <c r="D183" t="s">
        <v>943</v>
      </c>
      <c r="E183" t="s">
        <v>944</v>
      </c>
      <c r="F183" t="s">
        <v>945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</row>
    <row r="184" spans="1:43" x14ac:dyDescent="0.35">
      <c r="A184" t="s">
        <v>40</v>
      </c>
      <c r="B184" t="s">
        <v>946</v>
      </c>
      <c r="C184" t="s">
        <v>947</v>
      </c>
      <c r="D184" t="s">
        <v>948</v>
      </c>
      <c r="E184" t="s">
        <v>949</v>
      </c>
      <c r="F184" t="s">
        <v>950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</row>
    <row r="185" spans="1:43" x14ac:dyDescent="0.35">
      <c r="A185" t="s">
        <v>35</v>
      </c>
      <c r="B185" t="s">
        <v>951</v>
      </c>
      <c r="C185" t="s">
        <v>952</v>
      </c>
      <c r="D185" t="s">
        <v>953</v>
      </c>
      <c r="E185" t="s">
        <v>954</v>
      </c>
      <c r="F185" t="s">
        <v>955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</row>
    <row r="186" spans="1:43" x14ac:dyDescent="0.35">
      <c r="A186" t="s">
        <v>45</v>
      </c>
      <c r="B186" t="s">
        <v>46</v>
      </c>
      <c r="C186" t="s">
        <v>956</v>
      </c>
      <c r="D186" t="s">
        <v>644</v>
      </c>
      <c r="E186" t="s">
        <v>957</v>
      </c>
      <c r="F186" t="s">
        <v>646</v>
      </c>
      <c r="G186" t="s">
        <v>102</v>
      </c>
      <c r="H186" t="s">
        <v>102</v>
      </c>
      <c r="I186" t="s">
        <v>102</v>
      </c>
      <c r="J186" t="s">
        <v>102</v>
      </c>
      <c r="K186" t="s">
        <v>102</v>
      </c>
      <c r="L186" t="s">
        <v>102</v>
      </c>
      <c r="M186" t="s">
        <v>102</v>
      </c>
      <c r="N186" t="s">
        <v>102</v>
      </c>
      <c r="O186" t="s">
        <v>102</v>
      </c>
      <c r="P186" t="s">
        <v>102</v>
      </c>
      <c r="Q186" t="s">
        <v>102</v>
      </c>
      <c r="R186" t="s">
        <v>102</v>
      </c>
      <c r="S186" t="s">
        <v>102</v>
      </c>
      <c r="T186" t="s">
        <v>102</v>
      </c>
      <c r="U186" t="s">
        <v>102</v>
      </c>
      <c r="V186" t="s">
        <v>102</v>
      </c>
      <c r="W186" t="s">
        <v>102</v>
      </c>
      <c r="X186" t="s">
        <v>102</v>
      </c>
      <c r="Y186" t="s">
        <v>102</v>
      </c>
      <c r="Z186" t="s">
        <v>102</v>
      </c>
      <c r="AA186" t="s">
        <v>102</v>
      </c>
      <c r="AB186" t="s">
        <v>102</v>
      </c>
      <c r="AC186" t="s">
        <v>102</v>
      </c>
      <c r="AD186" t="s">
        <v>102</v>
      </c>
      <c r="AE186" t="s">
        <v>102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</row>
    <row r="187" spans="1:43" x14ac:dyDescent="0.35">
      <c r="A187" t="s">
        <v>83</v>
      </c>
      <c r="B187" t="s">
        <v>958</v>
      </c>
      <c r="C187" t="s">
        <v>860</v>
      </c>
      <c r="D187" t="s">
        <v>959</v>
      </c>
      <c r="E187" t="s">
        <v>862</v>
      </c>
      <c r="F187" t="s">
        <v>960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</row>
    <row r="188" spans="1:43" x14ac:dyDescent="0.35">
      <c r="A188" t="s">
        <v>93</v>
      </c>
      <c r="B188" t="s">
        <v>26</v>
      </c>
      <c r="C188" t="s">
        <v>961</v>
      </c>
      <c r="D188" t="s">
        <v>962</v>
      </c>
      <c r="E188" t="s">
        <v>963</v>
      </c>
      <c r="F188" t="s">
        <v>964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</row>
    <row r="189" spans="1:43" x14ac:dyDescent="0.35">
      <c r="A189" t="s">
        <v>76</v>
      </c>
      <c r="B189" t="s">
        <v>965</v>
      </c>
      <c r="C189" t="s">
        <v>302</v>
      </c>
      <c r="D189" t="s">
        <v>303</v>
      </c>
      <c r="E189" t="s">
        <v>966</v>
      </c>
      <c r="F189" t="s">
        <v>305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</row>
    <row r="190" spans="1:43" x14ac:dyDescent="0.35">
      <c r="A190" t="s">
        <v>75</v>
      </c>
      <c r="B190" t="s">
        <v>967</v>
      </c>
      <c r="C190" t="s">
        <v>968</v>
      </c>
      <c r="D190" t="s">
        <v>969</v>
      </c>
      <c r="E190" t="s">
        <v>970</v>
      </c>
      <c r="F190" t="s">
        <v>971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</row>
    <row r="191" spans="1:43" x14ac:dyDescent="0.35">
      <c r="A191" t="s">
        <v>77</v>
      </c>
      <c r="B191" t="s">
        <v>972</v>
      </c>
      <c r="C191" t="s">
        <v>973</v>
      </c>
      <c r="D191" t="s">
        <v>974</v>
      </c>
      <c r="E191" t="s">
        <v>975</v>
      </c>
      <c r="F191" t="s">
        <v>976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</row>
    <row r="192" spans="1:43" x14ac:dyDescent="0.35">
      <c r="A192" t="s">
        <v>84</v>
      </c>
      <c r="B192" t="s">
        <v>25</v>
      </c>
      <c r="C192" t="s">
        <v>977</v>
      </c>
      <c r="D192" t="s">
        <v>978</v>
      </c>
      <c r="E192" t="s">
        <v>979</v>
      </c>
      <c r="F192" t="s">
        <v>980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</row>
    <row r="193" spans="1:44" x14ac:dyDescent="0.35">
      <c r="A193" t="s">
        <v>38</v>
      </c>
      <c r="B193" t="s">
        <v>981</v>
      </c>
      <c r="C193" t="s">
        <v>982</v>
      </c>
      <c r="D193" t="s">
        <v>983</v>
      </c>
      <c r="E193" t="s">
        <v>984</v>
      </c>
      <c r="F193" t="s">
        <v>985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</row>
    <row r="194" spans="1:44" x14ac:dyDescent="0.35">
      <c r="A194" t="s">
        <v>92</v>
      </c>
      <c r="B194" t="s">
        <v>986</v>
      </c>
      <c r="C194" t="s">
        <v>987</v>
      </c>
      <c r="D194" t="s">
        <v>988</v>
      </c>
      <c r="E194" t="s">
        <v>989</v>
      </c>
      <c r="F194" t="s">
        <v>990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</row>
    <row r="195" spans="1:44" x14ac:dyDescent="0.35">
      <c r="A195" t="s">
        <v>67</v>
      </c>
      <c r="B195" t="s">
        <v>991</v>
      </c>
      <c r="C195" t="s">
        <v>992</v>
      </c>
      <c r="D195" t="s">
        <v>993</v>
      </c>
      <c r="E195" t="s">
        <v>994</v>
      </c>
      <c r="F195" t="s">
        <v>995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</row>
    <row r="196" spans="1:44" x14ac:dyDescent="0.35">
      <c r="A196" t="s">
        <v>57</v>
      </c>
      <c r="B196" t="s">
        <v>996</v>
      </c>
      <c r="C196" t="s">
        <v>997</v>
      </c>
      <c r="D196" t="s">
        <v>998</v>
      </c>
      <c r="E196" t="s">
        <v>999</v>
      </c>
      <c r="F196" t="s">
        <v>1000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</row>
    <row r="197" spans="1:44" x14ac:dyDescent="0.35">
      <c r="A197" t="s">
        <v>56</v>
      </c>
      <c r="B197" t="s">
        <v>1001</v>
      </c>
      <c r="C197" t="s">
        <v>1002</v>
      </c>
      <c r="D197" t="s">
        <v>1003</v>
      </c>
      <c r="E197" t="s">
        <v>1004</v>
      </c>
      <c r="F197" t="s">
        <v>1005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</row>
    <row r="198" spans="1:44" x14ac:dyDescent="0.35">
      <c r="A198" t="s">
        <v>58</v>
      </c>
      <c r="B198" t="s">
        <v>1006</v>
      </c>
      <c r="C198" t="s">
        <v>1007</v>
      </c>
      <c r="D198" t="s">
        <v>1008</v>
      </c>
      <c r="E198" t="s">
        <v>1009</v>
      </c>
      <c r="F198" t="s">
        <v>1010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</row>
    <row r="199" spans="1:44" x14ac:dyDescent="0.35">
      <c r="A199" t="s">
        <v>68</v>
      </c>
      <c r="B199" t="s">
        <v>24</v>
      </c>
      <c r="C199" t="s">
        <v>1011</v>
      </c>
      <c r="D199" t="s">
        <v>1012</v>
      </c>
      <c r="E199" t="s">
        <v>1013</v>
      </c>
      <c r="F199" t="s">
        <v>1014</v>
      </c>
      <c r="G199" t="s">
        <v>102</v>
      </c>
      <c r="H199" t="s">
        <v>102</v>
      </c>
      <c r="I199" t="s">
        <v>102</v>
      </c>
      <c r="J199" t="s">
        <v>102</v>
      </c>
      <c r="K199" t="s">
        <v>102</v>
      </c>
      <c r="L199" t="s">
        <v>102</v>
      </c>
      <c r="M199" t="s">
        <v>102</v>
      </c>
      <c r="N199" t="s">
        <v>102</v>
      </c>
      <c r="O199" t="s">
        <v>102</v>
      </c>
      <c r="P199" t="s">
        <v>102</v>
      </c>
      <c r="Q199" t="s">
        <v>102</v>
      </c>
      <c r="R199" t="s">
        <v>102</v>
      </c>
      <c r="S199" t="s">
        <v>102</v>
      </c>
      <c r="T199" t="s">
        <v>102</v>
      </c>
      <c r="U199" t="s">
        <v>102</v>
      </c>
      <c r="V199" t="s">
        <v>102</v>
      </c>
      <c r="W199" t="s">
        <v>102</v>
      </c>
      <c r="X199" t="s">
        <v>102</v>
      </c>
      <c r="Y199" t="s">
        <v>102</v>
      </c>
      <c r="Z199" t="s">
        <v>102</v>
      </c>
      <c r="AA199" t="s">
        <v>102</v>
      </c>
      <c r="AB199" t="s">
        <v>102</v>
      </c>
      <c r="AC199" t="s">
        <v>102</v>
      </c>
      <c r="AD199" t="s">
        <v>102</v>
      </c>
      <c r="AE199" t="s">
        <v>102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</row>
    <row r="200" spans="1:44" x14ac:dyDescent="0.35">
      <c r="A200" t="s">
        <v>44</v>
      </c>
      <c r="B200" t="s">
        <v>667</v>
      </c>
      <c r="C200" t="s">
        <v>668</v>
      </c>
      <c r="D200" t="s">
        <v>669</v>
      </c>
      <c r="E200" t="s">
        <v>670</v>
      </c>
      <c r="F200" t="s">
        <v>671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</row>
    <row r="201" spans="1:44" x14ac:dyDescent="0.35">
      <c r="A201" t="s">
        <v>41</v>
      </c>
      <c r="B201" t="s">
        <v>42</v>
      </c>
      <c r="C201" t="s">
        <v>1015</v>
      </c>
      <c r="D201" t="s">
        <v>1016</v>
      </c>
      <c r="E201" t="s">
        <v>1017</v>
      </c>
      <c r="F201" t="s">
        <v>1018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</row>
    <row r="202" spans="1:44" x14ac:dyDescent="0.35">
      <c r="A202" t="s">
        <v>39</v>
      </c>
      <c r="B202" t="s">
        <v>681</v>
      </c>
      <c r="C202" t="s">
        <v>682</v>
      </c>
      <c r="D202" t="s">
        <v>683</v>
      </c>
      <c r="E202" t="s">
        <v>684</v>
      </c>
      <c r="F202" t="s">
        <v>685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</row>
    <row r="203" spans="1:44" x14ac:dyDescent="0.35">
      <c r="A203" t="s">
        <v>37</v>
      </c>
      <c r="B203" t="s">
        <v>1019</v>
      </c>
      <c r="C203" t="s">
        <v>1020</v>
      </c>
      <c r="D203" t="s">
        <v>1021</v>
      </c>
      <c r="E203" t="s">
        <v>1022</v>
      </c>
      <c r="F203" t="s">
        <v>1023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</row>
    <row r="204" spans="1:44" x14ac:dyDescent="0.35">
      <c r="A204" t="s">
        <v>36</v>
      </c>
      <c r="B204" t="s">
        <v>1024</v>
      </c>
      <c r="C204" t="s">
        <v>1025</v>
      </c>
      <c r="D204" t="s">
        <v>1026</v>
      </c>
      <c r="E204" t="s">
        <v>1027</v>
      </c>
      <c r="F204" t="s">
        <v>1028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</row>
    <row r="205" spans="1:44" x14ac:dyDescent="0.35">
      <c r="A205" t="s">
        <v>34</v>
      </c>
      <c r="B205" t="s">
        <v>1029</v>
      </c>
      <c r="C205" t="s">
        <v>1030</v>
      </c>
      <c r="D205" t="s">
        <v>1031</v>
      </c>
      <c r="E205" t="s">
        <v>1032</v>
      </c>
      <c r="F205" t="s">
        <v>1033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</row>
    <row r="206" spans="1:44" x14ac:dyDescent="0.35">
      <c r="A206" t="s">
        <v>1034</v>
      </c>
      <c r="B206" t="s">
        <v>1035</v>
      </c>
      <c r="C206" t="s">
        <v>1036</v>
      </c>
      <c r="D206" t="s">
        <v>1037</v>
      </c>
      <c r="E206" t="s">
        <v>1038</v>
      </c>
      <c r="F206" t="s">
        <v>1039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</row>
    <row r="207" spans="1:44" x14ac:dyDescent="0.35">
      <c r="A207" t="s">
        <v>1040</v>
      </c>
      <c r="B207" t="s">
        <v>1041</v>
      </c>
      <c r="C207" t="s">
        <v>1042</v>
      </c>
      <c r="D207" t="s">
        <v>1043</v>
      </c>
      <c r="E207" t="s">
        <v>1044</v>
      </c>
      <c r="F207" t="s">
        <v>1045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</row>
    <row r="208" spans="1:44" x14ac:dyDescent="0.35">
      <c r="A208" t="s">
        <v>33</v>
      </c>
      <c r="B208" t="s">
        <v>1046</v>
      </c>
      <c r="C208" t="s">
        <v>1047</v>
      </c>
      <c r="D208" t="s">
        <v>1048</v>
      </c>
      <c r="E208" t="s">
        <v>1049</v>
      </c>
      <c r="F208" t="s">
        <v>1050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</row>
    <row r="209" spans="1:43" x14ac:dyDescent="0.35">
      <c r="A209" t="s">
        <v>30</v>
      </c>
      <c r="B209" t="s">
        <v>31</v>
      </c>
      <c r="C209" t="s">
        <v>1051</v>
      </c>
      <c r="D209" t="s">
        <v>1052</v>
      </c>
      <c r="E209" t="s">
        <v>1053</v>
      </c>
      <c r="F209" t="s">
        <v>1054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</row>
    <row r="210" spans="1:43" x14ac:dyDescent="0.35">
      <c r="A210" t="s">
        <v>28</v>
      </c>
      <c r="B210" t="s">
        <v>29</v>
      </c>
      <c r="C210" t="s">
        <v>1055</v>
      </c>
      <c r="D210" t="s">
        <v>1056</v>
      </c>
      <c r="E210" t="s">
        <v>1057</v>
      </c>
      <c r="F210" t="s">
        <v>1058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N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</row>
    <row r="211" spans="1:43" x14ac:dyDescent="0.35">
      <c r="A211">
        <v>211100</v>
      </c>
      <c r="B211" t="s">
        <v>1059</v>
      </c>
      <c r="C211" t="s">
        <v>1060</v>
      </c>
      <c r="D211" t="s">
        <v>1061</v>
      </c>
      <c r="E211" t="s">
        <v>1062</v>
      </c>
      <c r="F211" t="s">
        <v>1063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</row>
    <row r="212" spans="1:43" x14ac:dyDescent="0.35">
      <c r="A212" t="s">
        <v>1064</v>
      </c>
      <c r="B212" t="s">
        <v>1065</v>
      </c>
      <c r="C212" t="s">
        <v>1066</v>
      </c>
      <c r="D212" t="s">
        <v>1067</v>
      </c>
      <c r="E212" t="s">
        <v>1068</v>
      </c>
      <c r="F212" t="s">
        <v>1069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</row>
    <row r="213" spans="1:43" x14ac:dyDescent="0.35">
      <c r="A213" t="s">
        <v>1070</v>
      </c>
      <c r="B213" t="s">
        <v>1071</v>
      </c>
      <c r="C213" t="s">
        <v>1072</v>
      </c>
      <c r="D213" t="s">
        <v>1073</v>
      </c>
      <c r="E213" t="s">
        <v>1074</v>
      </c>
      <c r="F213" t="s">
        <v>1075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</row>
    <row r="214" spans="1:43" x14ac:dyDescent="0.3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 t="s">
        <v>1081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</row>
    <row r="215" spans="1:43" x14ac:dyDescent="0.35">
      <c r="A215" t="s">
        <v>1082</v>
      </c>
      <c r="B215" t="s">
        <v>1083</v>
      </c>
      <c r="C215" t="s">
        <v>1084</v>
      </c>
      <c r="D215" t="s">
        <v>1085</v>
      </c>
      <c r="E215" t="s">
        <v>1086</v>
      </c>
      <c r="F215" t="s">
        <v>1087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</row>
    <row r="216" spans="1:43" x14ac:dyDescent="0.35">
      <c r="A216" t="s">
        <v>1088</v>
      </c>
      <c r="B216" t="s">
        <v>1089</v>
      </c>
      <c r="C216" t="s">
        <v>1090</v>
      </c>
      <c r="D216" t="s">
        <v>1091</v>
      </c>
      <c r="E216" t="s">
        <v>1092</v>
      </c>
      <c r="F216" t="s">
        <v>1093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</row>
    <row r="217" spans="1:43" x14ac:dyDescent="0.35">
      <c r="A217" t="s">
        <v>1094</v>
      </c>
      <c r="B217" t="s">
        <v>1095</v>
      </c>
      <c r="C217" t="s">
        <v>1096</v>
      </c>
      <c r="D217" t="s">
        <v>1097</v>
      </c>
      <c r="E217" t="s">
        <v>1098</v>
      </c>
      <c r="F217" t="s">
        <v>1099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</row>
    <row r="218" spans="1:43" x14ac:dyDescent="0.35">
      <c r="A218" t="s">
        <v>1100</v>
      </c>
      <c r="B218" t="s">
        <v>1101</v>
      </c>
      <c r="C218" t="s">
        <v>1102</v>
      </c>
      <c r="D218" t="s">
        <v>1103</v>
      </c>
      <c r="E218" t="s">
        <v>1104</v>
      </c>
      <c r="F218" t="s">
        <v>1105</v>
      </c>
      <c r="G218" t="s">
        <v>102</v>
      </c>
      <c r="H218" t="s">
        <v>102</v>
      </c>
      <c r="I218" t="s">
        <v>102</v>
      </c>
      <c r="J218" t="s">
        <v>102</v>
      </c>
      <c r="K218" t="s">
        <v>102</v>
      </c>
      <c r="L218" t="s">
        <v>102</v>
      </c>
      <c r="M218" t="s">
        <v>102</v>
      </c>
      <c r="N218" t="s">
        <v>102</v>
      </c>
      <c r="O218" t="s">
        <v>102</v>
      </c>
      <c r="P218" t="s">
        <v>102</v>
      </c>
      <c r="Q218" t="s">
        <v>102</v>
      </c>
      <c r="R218" t="s">
        <v>102</v>
      </c>
      <c r="S218" t="s">
        <v>102</v>
      </c>
      <c r="T218" t="s">
        <v>102</v>
      </c>
      <c r="U218" t="s">
        <v>102</v>
      </c>
      <c r="V218" t="s">
        <v>102</v>
      </c>
      <c r="W218" t="s">
        <v>102</v>
      </c>
      <c r="X218" t="s">
        <v>102</v>
      </c>
      <c r="Y218" t="s">
        <v>102</v>
      </c>
      <c r="Z218" t="s">
        <v>102</v>
      </c>
      <c r="AA218" t="s">
        <v>102</v>
      </c>
      <c r="AB218" t="s">
        <v>102</v>
      </c>
      <c r="AC218" t="s">
        <v>102</v>
      </c>
      <c r="AD218" t="s">
        <v>102</v>
      </c>
      <c r="AE218" t="s">
        <v>102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</row>
    <row r="219" spans="1:43" x14ac:dyDescent="0.35">
      <c r="A219" t="s">
        <v>1106</v>
      </c>
      <c r="B219" t="s">
        <v>1107</v>
      </c>
      <c r="C219" t="s">
        <v>1108</v>
      </c>
      <c r="D219" t="s">
        <v>1109</v>
      </c>
      <c r="E219" t="s">
        <v>1110</v>
      </c>
      <c r="F219" t="s">
        <v>1111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</row>
    <row r="220" spans="1:43" x14ac:dyDescent="0.35">
      <c r="A220" t="s">
        <v>1112</v>
      </c>
      <c r="B220" t="s">
        <v>1113</v>
      </c>
      <c r="C220" t="s">
        <v>1114</v>
      </c>
      <c r="D220" t="s">
        <v>1115</v>
      </c>
      <c r="E220" t="s">
        <v>1116</v>
      </c>
      <c r="F220" t="s">
        <v>1117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</row>
    <row r="221" spans="1:43" x14ac:dyDescent="0.35">
      <c r="A221" t="s">
        <v>1118</v>
      </c>
      <c r="B221" t="s">
        <v>1119</v>
      </c>
      <c r="C221" t="s">
        <v>1120</v>
      </c>
      <c r="D221" t="s">
        <v>1121</v>
      </c>
      <c r="E221" t="s">
        <v>1122</v>
      </c>
      <c r="F221" t="s">
        <v>1123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</row>
    <row r="222" spans="1:43" x14ac:dyDescent="0.35">
      <c r="A222" t="s">
        <v>1124</v>
      </c>
      <c r="B222" t="s">
        <v>1125</v>
      </c>
      <c r="C222" t="s">
        <v>1126</v>
      </c>
      <c r="D222" t="s">
        <v>1127</v>
      </c>
      <c r="E222" t="s">
        <v>1128</v>
      </c>
      <c r="F222" t="s">
        <v>1129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</row>
    <row r="223" spans="1:43" x14ac:dyDescent="0.35">
      <c r="A223" t="s">
        <v>1130</v>
      </c>
      <c r="B223" t="s">
        <v>1131</v>
      </c>
      <c r="C223" t="s">
        <v>1132</v>
      </c>
      <c r="D223" t="s">
        <v>1133</v>
      </c>
      <c r="E223" t="s">
        <v>1134</v>
      </c>
      <c r="F223" t="s">
        <v>1135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</row>
    <row r="224" spans="1:43" x14ac:dyDescent="0.35">
      <c r="A224" t="s">
        <v>1136</v>
      </c>
      <c r="B224" t="s">
        <v>1137</v>
      </c>
      <c r="C224" t="s">
        <v>1138</v>
      </c>
      <c r="D224" t="s">
        <v>1139</v>
      </c>
      <c r="E224" t="s">
        <v>1140</v>
      </c>
      <c r="F224" t="s">
        <v>1141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</row>
    <row r="225" spans="1:43" x14ac:dyDescent="0.35">
      <c r="A225" t="s">
        <v>1142</v>
      </c>
      <c r="B225" t="s">
        <v>1143</v>
      </c>
      <c r="C225" t="s">
        <v>1144</v>
      </c>
      <c r="D225" t="s">
        <v>1145</v>
      </c>
      <c r="E225" t="s">
        <v>1146</v>
      </c>
      <c r="F225" t="s">
        <v>1147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</row>
    <row r="226" spans="1:43" x14ac:dyDescent="0.35">
      <c r="A226" t="s">
        <v>1148</v>
      </c>
      <c r="B226" t="s">
        <v>1149</v>
      </c>
      <c r="C226" t="s">
        <v>1150</v>
      </c>
      <c r="D226" t="s">
        <v>1151</v>
      </c>
      <c r="E226" t="s">
        <v>1152</v>
      </c>
      <c r="F226" t="s">
        <v>1153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 t="s">
        <v>102</v>
      </c>
      <c r="R226" t="s">
        <v>102</v>
      </c>
      <c r="S226" t="s">
        <v>102</v>
      </c>
      <c r="T226" t="s">
        <v>102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 t="s">
        <v>102</v>
      </c>
      <c r="AC226" t="s">
        <v>102</v>
      </c>
      <c r="AD226" t="s">
        <v>102</v>
      </c>
      <c r="AE226" t="s">
        <v>102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</row>
    <row r="227" spans="1:43" x14ac:dyDescent="0.35">
      <c r="A227" t="s">
        <v>1154</v>
      </c>
      <c r="B227" t="s">
        <v>1155</v>
      </c>
      <c r="C227" t="s">
        <v>1156</v>
      </c>
      <c r="D227" t="s">
        <v>1157</v>
      </c>
      <c r="E227" t="s">
        <v>1158</v>
      </c>
      <c r="F227" t="s">
        <v>1159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 t="s">
        <v>102</v>
      </c>
      <c r="R227" t="s">
        <v>102</v>
      </c>
      <c r="S227" t="s">
        <v>102</v>
      </c>
      <c r="T227" t="s">
        <v>102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 t="s">
        <v>102</v>
      </c>
      <c r="AC227" t="s">
        <v>102</v>
      </c>
      <c r="AD227" t="s">
        <v>102</v>
      </c>
      <c r="AE227" t="s">
        <v>102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</row>
    <row r="228" spans="1:43" x14ac:dyDescent="0.35">
      <c r="A228" t="s">
        <v>1160</v>
      </c>
      <c r="B228" t="s">
        <v>1161</v>
      </c>
      <c r="C228" t="s">
        <v>1162</v>
      </c>
      <c r="D228" t="s">
        <v>1163</v>
      </c>
      <c r="E228" t="s">
        <v>1164</v>
      </c>
      <c r="F228" t="s">
        <v>1165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 t="s">
        <v>102</v>
      </c>
      <c r="R228" t="s">
        <v>102</v>
      </c>
      <c r="S228" t="s">
        <v>102</v>
      </c>
      <c r="T228" t="s">
        <v>102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 t="s">
        <v>102</v>
      </c>
      <c r="AC228" t="s">
        <v>102</v>
      </c>
      <c r="AD228" t="s">
        <v>102</v>
      </c>
      <c r="AE228" t="s">
        <v>102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</row>
    <row r="229" spans="1:43" x14ac:dyDescent="0.35">
      <c r="A229" t="s">
        <v>1166</v>
      </c>
      <c r="B229" t="s">
        <v>1167</v>
      </c>
      <c r="C229" t="s">
        <v>1168</v>
      </c>
      <c r="D229" t="s">
        <v>1169</v>
      </c>
      <c r="E229" t="s">
        <v>1170</v>
      </c>
      <c r="F229" t="s">
        <v>1171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 t="s">
        <v>102</v>
      </c>
      <c r="R229" t="s">
        <v>102</v>
      </c>
      <c r="S229" t="s">
        <v>102</v>
      </c>
      <c r="T229" t="s">
        <v>102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 t="s">
        <v>102</v>
      </c>
      <c r="AC229" t="s">
        <v>102</v>
      </c>
      <c r="AD229" t="s">
        <v>102</v>
      </c>
      <c r="AE229" t="s">
        <v>102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</row>
    <row r="230" spans="1:43" x14ac:dyDescent="0.35">
      <c r="A230" t="s">
        <v>1172</v>
      </c>
      <c r="B230" t="s">
        <v>1173</v>
      </c>
      <c r="C230" t="s">
        <v>1174</v>
      </c>
      <c r="D230" t="s">
        <v>1175</v>
      </c>
      <c r="E230" t="s">
        <v>1176</v>
      </c>
      <c r="F230" t="s">
        <v>1177</v>
      </c>
      <c r="G230" t="s">
        <v>102</v>
      </c>
      <c r="H230" t="s">
        <v>102</v>
      </c>
      <c r="I230" t="s">
        <v>102</v>
      </c>
      <c r="J230" t="s">
        <v>102</v>
      </c>
      <c r="K230" t="s">
        <v>102</v>
      </c>
      <c r="L230" t="s">
        <v>102</v>
      </c>
      <c r="M230" t="s">
        <v>102</v>
      </c>
      <c r="N230" t="s">
        <v>102</v>
      </c>
      <c r="O230" t="s">
        <v>102</v>
      </c>
      <c r="P230" t="s">
        <v>102</v>
      </c>
      <c r="Q230" t="s">
        <v>102</v>
      </c>
      <c r="R230" t="s">
        <v>102</v>
      </c>
      <c r="S230" t="s">
        <v>102</v>
      </c>
      <c r="T230" t="s">
        <v>102</v>
      </c>
      <c r="U230" t="s">
        <v>102</v>
      </c>
      <c r="V230" t="s">
        <v>102</v>
      </c>
      <c r="W230" t="s">
        <v>102</v>
      </c>
      <c r="X230" t="s">
        <v>102</v>
      </c>
      <c r="Y230" t="s">
        <v>102</v>
      </c>
      <c r="Z230" t="s">
        <v>102</v>
      </c>
      <c r="AA230" t="s">
        <v>102</v>
      </c>
      <c r="AB230" t="s">
        <v>102</v>
      </c>
      <c r="AC230" t="s">
        <v>102</v>
      </c>
      <c r="AD230" t="s">
        <v>102</v>
      </c>
      <c r="AE230" t="s">
        <v>102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</row>
    <row r="231" spans="1:43" x14ac:dyDescent="0.35">
      <c r="A231" t="s">
        <v>1178</v>
      </c>
      <c r="B231" t="s">
        <v>1179</v>
      </c>
      <c r="C231" t="s">
        <v>1180</v>
      </c>
      <c r="D231" t="s">
        <v>1181</v>
      </c>
      <c r="E231" t="s">
        <v>1182</v>
      </c>
      <c r="F231" t="s">
        <v>1183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 t="s">
        <v>102</v>
      </c>
      <c r="R231" t="s">
        <v>102</v>
      </c>
      <c r="S231" t="s">
        <v>102</v>
      </c>
      <c r="T231" t="s">
        <v>102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 t="s">
        <v>102</v>
      </c>
      <c r="AC231" t="s">
        <v>102</v>
      </c>
      <c r="AD231" t="s">
        <v>102</v>
      </c>
      <c r="AE231" t="s">
        <v>102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</row>
    <row r="232" spans="1:43" x14ac:dyDescent="0.35">
      <c r="A232" t="s">
        <v>1184</v>
      </c>
      <c r="B232" t="s">
        <v>1185</v>
      </c>
      <c r="C232" t="s">
        <v>1186</v>
      </c>
      <c r="D232" t="s">
        <v>1187</v>
      </c>
      <c r="E232" t="s">
        <v>1188</v>
      </c>
      <c r="F232" t="s">
        <v>1189</v>
      </c>
      <c r="G232" t="s">
        <v>102</v>
      </c>
      <c r="H232" t="s">
        <v>102</v>
      </c>
      <c r="I232" t="s">
        <v>102</v>
      </c>
      <c r="J232" t="s">
        <v>102</v>
      </c>
      <c r="K232" t="s">
        <v>102</v>
      </c>
      <c r="L232" t="s">
        <v>102</v>
      </c>
      <c r="M232" t="s">
        <v>102</v>
      </c>
      <c r="N232" t="s">
        <v>102</v>
      </c>
      <c r="O232" t="s">
        <v>102</v>
      </c>
      <c r="P232" t="s">
        <v>102</v>
      </c>
      <c r="Q232" t="s">
        <v>102</v>
      </c>
      <c r="R232" t="s">
        <v>102</v>
      </c>
      <c r="S232" t="s">
        <v>102</v>
      </c>
      <c r="T232" t="s">
        <v>102</v>
      </c>
      <c r="U232" t="s">
        <v>102</v>
      </c>
      <c r="V232" t="s">
        <v>102</v>
      </c>
      <c r="W232" t="s">
        <v>102</v>
      </c>
      <c r="X232" t="s">
        <v>102</v>
      </c>
      <c r="Y232" t="s">
        <v>102</v>
      </c>
      <c r="Z232" t="s">
        <v>102</v>
      </c>
      <c r="AA232" t="s">
        <v>102</v>
      </c>
      <c r="AB232" t="s">
        <v>102</v>
      </c>
      <c r="AC232" t="s">
        <v>102</v>
      </c>
      <c r="AD232" t="s">
        <v>102</v>
      </c>
      <c r="AE232" t="s">
        <v>102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</row>
    <row r="233" spans="1:43" x14ac:dyDescent="0.35">
      <c r="A233" t="s">
        <v>1190</v>
      </c>
      <c r="B233" t="s">
        <v>1191</v>
      </c>
      <c r="C233" t="s">
        <v>1192</v>
      </c>
      <c r="D233" t="s">
        <v>1193</v>
      </c>
      <c r="E233" t="s">
        <v>1194</v>
      </c>
      <c r="F233" t="s">
        <v>1195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 t="s">
        <v>102</v>
      </c>
      <c r="R233" t="s">
        <v>102</v>
      </c>
      <c r="S233" t="s">
        <v>102</v>
      </c>
      <c r="T233" t="s">
        <v>102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 t="s">
        <v>102</v>
      </c>
      <c r="AC233" t="s">
        <v>102</v>
      </c>
      <c r="AD233" t="s">
        <v>102</v>
      </c>
      <c r="AE233" t="s">
        <v>102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</row>
    <row r="234" spans="1:43" x14ac:dyDescent="0.35">
      <c r="A234" t="s">
        <v>1196</v>
      </c>
      <c r="B234" t="s">
        <v>1197</v>
      </c>
      <c r="C234" t="s">
        <v>1198</v>
      </c>
      <c r="D234" t="s">
        <v>1199</v>
      </c>
      <c r="E234" t="s">
        <v>1200</v>
      </c>
      <c r="F234" t="s">
        <v>1201</v>
      </c>
      <c r="G234" t="s">
        <v>102</v>
      </c>
      <c r="H234" t="s">
        <v>102</v>
      </c>
      <c r="I234" t="s">
        <v>102</v>
      </c>
      <c r="J234" t="s">
        <v>102</v>
      </c>
      <c r="K234" t="s">
        <v>102</v>
      </c>
      <c r="L234" t="s">
        <v>102</v>
      </c>
      <c r="M234" t="s">
        <v>102</v>
      </c>
      <c r="N234" t="s">
        <v>102</v>
      </c>
      <c r="O234" t="s">
        <v>102</v>
      </c>
      <c r="P234" t="s">
        <v>102</v>
      </c>
      <c r="Q234" t="s">
        <v>102</v>
      </c>
      <c r="R234" t="s">
        <v>102</v>
      </c>
      <c r="S234" t="s">
        <v>102</v>
      </c>
      <c r="T234" t="s">
        <v>102</v>
      </c>
      <c r="U234" t="s">
        <v>102</v>
      </c>
      <c r="V234" t="s">
        <v>102</v>
      </c>
      <c r="W234" t="s">
        <v>102</v>
      </c>
      <c r="X234" t="s">
        <v>102</v>
      </c>
      <c r="Y234" t="s">
        <v>102</v>
      </c>
      <c r="Z234" t="s">
        <v>102</v>
      </c>
      <c r="AA234" t="s">
        <v>102</v>
      </c>
      <c r="AB234" t="s">
        <v>102</v>
      </c>
      <c r="AC234" t="s">
        <v>102</v>
      </c>
      <c r="AD234" t="s">
        <v>102</v>
      </c>
      <c r="AE234" t="s">
        <v>102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</row>
    <row r="235" spans="1:43" x14ac:dyDescent="0.35">
      <c r="A235" t="s">
        <v>1202</v>
      </c>
      <c r="B235" t="s">
        <v>1203</v>
      </c>
      <c r="C235" t="s">
        <v>1204</v>
      </c>
      <c r="D235" t="s">
        <v>1205</v>
      </c>
      <c r="E235" t="s">
        <v>1206</v>
      </c>
      <c r="F235" t="s">
        <v>1207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 t="s">
        <v>102</v>
      </c>
      <c r="R235" t="s">
        <v>102</v>
      </c>
      <c r="S235" t="s">
        <v>102</v>
      </c>
      <c r="T235" t="s">
        <v>102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 t="s">
        <v>102</v>
      </c>
      <c r="AC235" t="s">
        <v>102</v>
      </c>
      <c r="AD235" t="s">
        <v>102</v>
      </c>
      <c r="AE235" t="s">
        <v>102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</row>
    <row r="236" spans="1:43" x14ac:dyDescent="0.35">
      <c r="A236" t="s">
        <v>1208</v>
      </c>
      <c r="B236" t="s">
        <v>1209</v>
      </c>
      <c r="C236" t="s">
        <v>1210</v>
      </c>
      <c r="D236" t="s">
        <v>1211</v>
      </c>
      <c r="E236" t="s">
        <v>1212</v>
      </c>
      <c r="F236" t="s">
        <v>1213</v>
      </c>
      <c r="G236" t="s">
        <v>102</v>
      </c>
      <c r="H236" t="s">
        <v>102</v>
      </c>
      <c r="I236" t="s">
        <v>102</v>
      </c>
      <c r="J236" t="s">
        <v>102</v>
      </c>
      <c r="K236" t="s">
        <v>102</v>
      </c>
      <c r="L236" t="s">
        <v>102</v>
      </c>
      <c r="M236" t="s">
        <v>102</v>
      </c>
      <c r="N236" t="s">
        <v>102</v>
      </c>
      <c r="O236" t="s">
        <v>102</v>
      </c>
      <c r="P236" t="s">
        <v>102</v>
      </c>
      <c r="Q236" t="s">
        <v>102</v>
      </c>
      <c r="R236" t="s">
        <v>102</v>
      </c>
      <c r="S236" t="s">
        <v>102</v>
      </c>
      <c r="T236" t="s">
        <v>102</v>
      </c>
      <c r="U236" t="s">
        <v>102</v>
      </c>
      <c r="V236" t="s">
        <v>102</v>
      </c>
      <c r="W236" t="s">
        <v>102</v>
      </c>
      <c r="X236" t="s">
        <v>102</v>
      </c>
      <c r="Y236" t="s">
        <v>102</v>
      </c>
      <c r="Z236" t="s">
        <v>102</v>
      </c>
      <c r="AA236" t="s">
        <v>102</v>
      </c>
      <c r="AB236" t="s">
        <v>102</v>
      </c>
      <c r="AC236" t="s">
        <v>102</v>
      </c>
      <c r="AD236" t="s">
        <v>102</v>
      </c>
      <c r="AE236" t="s">
        <v>102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</row>
    <row r="237" spans="1:43" x14ac:dyDescent="0.35">
      <c r="A237" t="s">
        <v>1214</v>
      </c>
      <c r="B237" t="s">
        <v>1215</v>
      </c>
      <c r="C237" t="s">
        <v>1216</v>
      </c>
      <c r="D237" t="s">
        <v>1217</v>
      </c>
      <c r="E237" t="s">
        <v>1218</v>
      </c>
      <c r="F237" t="s">
        <v>1219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 t="s">
        <v>102</v>
      </c>
      <c r="R237" t="s">
        <v>102</v>
      </c>
      <c r="S237" t="s">
        <v>102</v>
      </c>
      <c r="T237" t="s">
        <v>102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 t="s">
        <v>102</v>
      </c>
      <c r="AC237" t="s">
        <v>102</v>
      </c>
      <c r="AD237" t="s">
        <v>102</v>
      </c>
      <c r="AE237" t="s">
        <v>102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</row>
    <row r="238" spans="1:43" x14ac:dyDescent="0.35">
      <c r="A238" t="s">
        <v>1220</v>
      </c>
      <c r="B238" t="s">
        <v>1221</v>
      </c>
      <c r="C238" t="s">
        <v>1222</v>
      </c>
      <c r="D238" t="s">
        <v>1223</v>
      </c>
      <c r="E238" t="s">
        <v>1224</v>
      </c>
      <c r="F238" t="s">
        <v>1225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 t="s">
        <v>102</v>
      </c>
      <c r="R238" t="s">
        <v>102</v>
      </c>
      <c r="S238" t="s">
        <v>102</v>
      </c>
      <c r="T238" t="s">
        <v>102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 t="s">
        <v>102</v>
      </c>
      <c r="AC238" t="s">
        <v>102</v>
      </c>
      <c r="AD238" t="s">
        <v>102</v>
      </c>
      <c r="AE238" t="s">
        <v>102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</row>
    <row r="239" spans="1:43" x14ac:dyDescent="0.35">
      <c r="A239" t="s">
        <v>1226</v>
      </c>
      <c r="B239" t="s">
        <v>1227</v>
      </c>
      <c r="C239" t="s">
        <v>1228</v>
      </c>
      <c r="D239" t="s">
        <v>1229</v>
      </c>
      <c r="E239" t="s">
        <v>1230</v>
      </c>
      <c r="F239" t="s">
        <v>1231</v>
      </c>
      <c r="G239" t="s">
        <v>102</v>
      </c>
      <c r="H239" t="s">
        <v>102</v>
      </c>
      <c r="I239" t="s">
        <v>102</v>
      </c>
      <c r="J239" t="s">
        <v>102</v>
      </c>
      <c r="K239" t="s">
        <v>102</v>
      </c>
      <c r="L239" t="s">
        <v>102</v>
      </c>
      <c r="M239" t="s">
        <v>102</v>
      </c>
      <c r="N239" t="s">
        <v>102</v>
      </c>
      <c r="O239" t="s">
        <v>102</v>
      </c>
      <c r="P239" t="s">
        <v>102</v>
      </c>
      <c r="Q239" t="s">
        <v>102</v>
      </c>
      <c r="R239" t="s">
        <v>102</v>
      </c>
      <c r="S239" t="s">
        <v>102</v>
      </c>
      <c r="T239" t="s">
        <v>102</v>
      </c>
      <c r="U239" t="s">
        <v>102</v>
      </c>
      <c r="V239" t="s">
        <v>102</v>
      </c>
      <c r="W239" t="s">
        <v>102</v>
      </c>
      <c r="X239" t="s">
        <v>102</v>
      </c>
      <c r="Y239" t="s">
        <v>102</v>
      </c>
      <c r="Z239" t="s">
        <v>102</v>
      </c>
      <c r="AA239" t="s">
        <v>102</v>
      </c>
      <c r="AB239" t="s">
        <v>102</v>
      </c>
      <c r="AC239" t="s">
        <v>102</v>
      </c>
      <c r="AD239" t="s">
        <v>102</v>
      </c>
      <c r="AE239" t="s">
        <v>102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</row>
    <row r="240" spans="1:43" x14ac:dyDescent="0.35">
      <c r="A240" t="s">
        <v>1232</v>
      </c>
      <c r="B240" t="s">
        <v>1233</v>
      </c>
      <c r="C240" t="s">
        <v>1234</v>
      </c>
      <c r="D240" t="s">
        <v>1235</v>
      </c>
      <c r="E240" t="s">
        <v>1236</v>
      </c>
      <c r="F240" t="s">
        <v>1237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</row>
    <row r="241" spans="1:43" x14ac:dyDescent="0.35">
      <c r="A241" t="s">
        <v>1238</v>
      </c>
      <c r="B241" t="s">
        <v>1239</v>
      </c>
      <c r="C241" t="s">
        <v>1240</v>
      </c>
      <c r="D241" t="s">
        <v>1241</v>
      </c>
      <c r="E241" t="s">
        <v>1242</v>
      </c>
      <c r="F241" t="s">
        <v>1243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</row>
    <row r="242" spans="1:43" x14ac:dyDescent="0.35">
      <c r="A242" t="s">
        <v>1244</v>
      </c>
      <c r="B242" t="s">
        <v>1245</v>
      </c>
      <c r="C242" t="s">
        <v>1246</v>
      </c>
      <c r="D242" t="s">
        <v>1247</v>
      </c>
      <c r="E242" t="s">
        <v>1248</v>
      </c>
      <c r="F242" t="s">
        <v>1249</v>
      </c>
      <c r="G242" t="s">
        <v>102</v>
      </c>
      <c r="H242" t="s">
        <v>102</v>
      </c>
      <c r="I242" t="s">
        <v>102</v>
      </c>
      <c r="J242" t="s">
        <v>102</v>
      </c>
      <c r="K242" t="s">
        <v>102</v>
      </c>
      <c r="L242" t="s">
        <v>102</v>
      </c>
      <c r="M242" t="s">
        <v>102</v>
      </c>
      <c r="N242" t="s">
        <v>102</v>
      </c>
      <c r="O242" t="s">
        <v>102</v>
      </c>
      <c r="P242" t="s">
        <v>102</v>
      </c>
      <c r="Q242" t="s">
        <v>102</v>
      </c>
      <c r="R242" t="s">
        <v>102</v>
      </c>
      <c r="S242" t="s">
        <v>102</v>
      </c>
      <c r="T242" t="s">
        <v>102</v>
      </c>
      <c r="U242" t="s">
        <v>102</v>
      </c>
      <c r="V242" t="s">
        <v>102</v>
      </c>
      <c r="W242" t="s">
        <v>102</v>
      </c>
      <c r="X242" t="s">
        <v>102</v>
      </c>
      <c r="Y242" t="s">
        <v>102</v>
      </c>
      <c r="Z242" t="s">
        <v>102</v>
      </c>
      <c r="AA242" t="s">
        <v>102</v>
      </c>
      <c r="AB242" t="s">
        <v>102</v>
      </c>
      <c r="AC242" t="s">
        <v>102</v>
      </c>
      <c r="AD242" t="s">
        <v>102</v>
      </c>
      <c r="AE242" t="s">
        <v>102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</row>
    <row r="243" spans="1:43" x14ac:dyDescent="0.35">
      <c r="A243" t="s">
        <v>1250</v>
      </c>
      <c r="B243" t="s">
        <v>1251</v>
      </c>
      <c r="C243" t="s">
        <v>1252</v>
      </c>
      <c r="D243" t="s">
        <v>1253</v>
      </c>
      <c r="E243" t="s">
        <v>1254</v>
      </c>
      <c r="F243" t="s">
        <v>1255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 t="s">
        <v>102</v>
      </c>
      <c r="R243" t="s">
        <v>102</v>
      </c>
      <c r="S243" t="s">
        <v>102</v>
      </c>
      <c r="T243" t="s">
        <v>102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 t="s">
        <v>102</v>
      </c>
      <c r="AC243" t="s">
        <v>102</v>
      </c>
      <c r="AD243" t="s">
        <v>102</v>
      </c>
      <c r="AE243" t="s">
        <v>102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</row>
    <row r="244" spans="1:43" x14ac:dyDescent="0.35">
      <c r="A244" t="s">
        <v>1256</v>
      </c>
      <c r="B244" t="s">
        <v>1257</v>
      </c>
      <c r="C244" t="s">
        <v>1258</v>
      </c>
      <c r="D244" t="s">
        <v>1259</v>
      </c>
      <c r="E244" t="s">
        <v>1260</v>
      </c>
      <c r="F244" t="s">
        <v>1261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 t="s">
        <v>102</v>
      </c>
      <c r="R244" t="s">
        <v>102</v>
      </c>
      <c r="S244" t="s">
        <v>102</v>
      </c>
      <c r="T244" t="s">
        <v>102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 t="s">
        <v>102</v>
      </c>
      <c r="AC244" t="s">
        <v>102</v>
      </c>
      <c r="AD244" t="s">
        <v>102</v>
      </c>
      <c r="AE244" t="s">
        <v>102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</row>
    <row r="245" spans="1:43" x14ac:dyDescent="0.35">
      <c r="A245" t="s">
        <v>1262</v>
      </c>
      <c r="B245" t="s">
        <v>1263</v>
      </c>
      <c r="C245" t="s">
        <v>1264</v>
      </c>
      <c r="D245" t="s">
        <v>1265</v>
      </c>
      <c r="E245" t="s">
        <v>1266</v>
      </c>
      <c r="F245" t="s">
        <v>1267</v>
      </c>
      <c r="G245" t="s">
        <v>102</v>
      </c>
      <c r="H245" t="s">
        <v>102</v>
      </c>
      <c r="I245" t="s">
        <v>102</v>
      </c>
      <c r="J245" t="s">
        <v>102</v>
      </c>
      <c r="K245" t="s">
        <v>102</v>
      </c>
      <c r="L245" t="s">
        <v>102</v>
      </c>
      <c r="M245" t="s">
        <v>102</v>
      </c>
      <c r="N245" t="s">
        <v>102</v>
      </c>
      <c r="O245" t="s">
        <v>102</v>
      </c>
      <c r="P245" t="s">
        <v>102</v>
      </c>
      <c r="Q245" t="s">
        <v>102</v>
      </c>
      <c r="R245" t="s">
        <v>102</v>
      </c>
      <c r="S245" t="s">
        <v>102</v>
      </c>
      <c r="T245" t="s">
        <v>102</v>
      </c>
      <c r="U245" t="s">
        <v>102</v>
      </c>
      <c r="V245" t="s">
        <v>102</v>
      </c>
      <c r="W245" t="s">
        <v>102</v>
      </c>
      <c r="X245" t="s">
        <v>102</v>
      </c>
      <c r="Y245" t="s">
        <v>102</v>
      </c>
      <c r="Z245" t="s">
        <v>102</v>
      </c>
      <c r="AA245" t="s">
        <v>102</v>
      </c>
      <c r="AB245" t="s">
        <v>102</v>
      </c>
      <c r="AC245" t="s">
        <v>102</v>
      </c>
      <c r="AD245" t="s">
        <v>102</v>
      </c>
      <c r="AE245" t="s">
        <v>102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</row>
    <row r="246" spans="1:43" x14ac:dyDescent="0.35">
      <c r="A246" t="s">
        <v>1268</v>
      </c>
      <c r="B246" t="s">
        <v>1269</v>
      </c>
      <c r="C246" t="s">
        <v>1270</v>
      </c>
      <c r="D246" t="s">
        <v>1271</v>
      </c>
      <c r="E246" t="s">
        <v>1272</v>
      </c>
      <c r="F246" t="s">
        <v>1273</v>
      </c>
      <c r="G246" t="s">
        <v>102</v>
      </c>
      <c r="H246" t="s">
        <v>102</v>
      </c>
      <c r="I246" t="s">
        <v>102</v>
      </c>
      <c r="J246" t="s">
        <v>102</v>
      </c>
      <c r="K246" t="s">
        <v>102</v>
      </c>
      <c r="L246" t="s">
        <v>102</v>
      </c>
      <c r="M246" t="s">
        <v>102</v>
      </c>
      <c r="N246" t="s">
        <v>102</v>
      </c>
      <c r="O246" t="s">
        <v>102</v>
      </c>
      <c r="P246" t="s">
        <v>102</v>
      </c>
      <c r="Q246" t="s">
        <v>102</v>
      </c>
      <c r="R246" t="s">
        <v>102</v>
      </c>
      <c r="S246" t="s">
        <v>102</v>
      </c>
      <c r="T246" t="s">
        <v>102</v>
      </c>
      <c r="U246" t="s">
        <v>102</v>
      </c>
      <c r="V246" t="s">
        <v>102</v>
      </c>
      <c r="W246" t="s">
        <v>102</v>
      </c>
      <c r="X246" t="s">
        <v>102</v>
      </c>
      <c r="Y246" t="s">
        <v>102</v>
      </c>
      <c r="Z246" t="s">
        <v>102</v>
      </c>
      <c r="AA246" t="s">
        <v>102</v>
      </c>
      <c r="AB246" t="s">
        <v>102</v>
      </c>
      <c r="AC246" t="s">
        <v>102</v>
      </c>
      <c r="AD246" t="s">
        <v>102</v>
      </c>
      <c r="AE246" t="s">
        <v>102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</row>
    <row r="247" spans="1:43" x14ac:dyDescent="0.35">
      <c r="A247" t="s">
        <v>1274</v>
      </c>
      <c r="B247" t="s">
        <v>1275</v>
      </c>
      <c r="C247" t="s">
        <v>1276</v>
      </c>
      <c r="D247" t="s">
        <v>1277</v>
      </c>
      <c r="E247" t="s">
        <v>1278</v>
      </c>
      <c r="F247" t="s">
        <v>1279</v>
      </c>
      <c r="G247" t="s">
        <v>102</v>
      </c>
      <c r="H247" t="s">
        <v>102</v>
      </c>
      <c r="I247" t="s">
        <v>102</v>
      </c>
      <c r="J247" t="s">
        <v>102</v>
      </c>
      <c r="K247" t="s">
        <v>102</v>
      </c>
      <c r="L247" t="s">
        <v>102</v>
      </c>
      <c r="M247" t="s">
        <v>102</v>
      </c>
      <c r="N247" t="s">
        <v>102</v>
      </c>
      <c r="O247" t="s">
        <v>102</v>
      </c>
      <c r="P247" t="s">
        <v>102</v>
      </c>
      <c r="Q247" t="s">
        <v>102</v>
      </c>
      <c r="R247" t="s">
        <v>102</v>
      </c>
      <c r="S247" t="s">
        <v>102</v>
      </c>
      <c r="T247" t="s">
        <v>102</v>
      </c>
      <c r="U247" t="s">
        <v>102</v>
      </c>
      <c r="V247" t="s">
        <v>102</v>
      </c>
      <c r="W247" t="s">
        <v>102</v>
      </c>
      <c r="X247" t="s">
        <v>102</v>
      </c>
      <c r="Y247" t="s">
        <v>102</v>
      </c>
      <c r="Z247" t="s">
        <v>102</v>
      </c>
      <c r="AA247" t="s">
        <v>102</v>
      </c>
      <c r="AB247" t="s">
        <v>102</v>
      </c>
      <c r="AC247" t="s">
        <v>102</v>
      </c>
      <c r="AD247" t="s">
        <v>102</v>
      </c>
      <c r="AE247" t="s">
        <v>102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</row>
    <row r="248" spans="1:43" x14ac:dyDescent="0.35">
      <c r="A248" t="s">
        <v>1280</v>
      </c>
      <c r="B248" t="s">
        <v>1281</v>
      </c>
      <c r="C248" t="s">
        <v>1282</v>
      </c>
      <c r="D248" t="s">
        <v>1283</v>
      </c>
      <c r="E248" t="s">
        <v>1284</v>
      </c>
      <c r="F248" t="s">
        <v>1285</v>
      </c>
      <c r="G248" t="s">
        <v>102</v>
      </c>
      <c r="H248" t="s">
        <v>102</v>
      </c>
      <c r="I248" t="s">
        <v>102</v>
      </c>
      <c r="J248" t="s">
        <v>102</v>
      </c>
      <c r="K248" t="s">
        <v>102</v>
      </c>
      <c r="L248" t="s">
        <v>102</v>
      </c>
      <c r="M248" t="s">
        <v>102</v>
      </c>
      <c r="N248" t="s">
        <v>102</v>
      </c>
      <c r="O248" t="s">
        <v>102</v>
      </c>
      <c r="P248" t="s">
        <v>102</v>
      </c>
      <c r="Q248" t="s">
        <v>102</v>
      </c>
      <c r="R248" t="s">
        <v>102</v>
      </c>
      <c r="S248" t="s">
        <v>102</v>
      </c>
      <c r="T248" t="s">
        <v>102</v>
      </c>
      <c r="U248" t="s">
        <v>102</v>
      </c>
      <c r="V248" t="s">
        <v>102</v>
      </c>
      <c r="W248" t="s">
        <v>102</v>
      </c>
      <c r="X248" t="s">
        <v>102</v>
      </c>
      <c r="Y248" t="s">
        <v>102</v>
      </c>
      <c r="Z248" t="s">
        <v>102</v>
      </c>
      <c r="AA248" t="s">
        <v>102</v>
      </c>
      <c r="AB248" t="s">
        <v>102</v>
      </c>
      <c r="AC248" t="s">
        <v>102</v>
      </c>
      <c r="AD248" t="s">
        <v>102</v>
      </c>
      <c r="AE248" t="s">
        <v>102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</row>
    <row r="249" spans="1:43" x14ac:dyDescent="0.35">
      <c r="A249" t="s">
        <v>1286</v>
      </c>
      <c r="B249" t="s">
        <v>1287</v>
      </c>
      <c r="C249" t="s">
        <v>1288</v>
      </c>
      <c r="D249" t="s">
        <v>1289</v>
      </c>
      <c r="E249" t="s">
        <v>1290</v>
      </c>
      <c r="F249" t="s">
        <v>1291</v>
      </c>
      <c r="G249" t="s">
        <v>102</v>
      </c>
      <c r="H249" t="s">
        <v>102</v>
      </c>
      <c r="I249" t="s">
        <v>102</v>
      </c>
      <c r="J249" t="s">
        <v>102</v>
      </c>
      <c r="K249" t="s">
        <v>102</v>
      </c>
      <c r="L249" t="s">
        <v>102</v>
      </c>
      <c r="M249" t="s">
        <v>102</v>
      </c>
      <c r="N249" t="s">
        <v>102</v>
      </c>
      <c r="O249" t="s">
        <v>102</v>
      </c>
      <c r="P249" t="s">
        <v>102</v>
      </c>
      <c r="Q249" t="s">
        <v>102</v>
      </c>
      <c r="R249" t="s">
        <v>102</v>
      </c>
      <c r="S249" t="s">
        <v>102</v>
      </c>
      <c r="T249" t="s">
        <v>102</v>
      </c>
      <c r="U249" t="s">
        <v>102</v>
      </c>
      <c r="V249" t="s">
        <v>102</v>
      </c>
      <c r="W249" t="s">
        <v>102</v>
      </c>
      <c r="X249" t="s">
        <v>102</v>
      </c>
      <c r="Y249" t="s">
        <v>102</v>
      </c>
      <c r="Z249" t="s">
        <v>102</v>
      </c>
      <c r="AA249" t="s">
        <v>102</v>
      </c>
      <c r="AB249" t="s">
        <v>102</v>
      </c>
      <c r="AC249" t="s">
        <v>102</v>
      </c>
      <c r="AD249" t="s">
        <v>102</v>
      </c>
      <c r="AE249" t="s">
        <v>102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</row>
    <row r="250" spans="1:43" x14ac:dyDescent="0.35">
      <c r="A250" t="s">
        <v>1292</v>
      </c>
      <c r="B250" t="s">
        <v>1293</v>
      </c>
      <c r="C250" t="s">
        <v>1294</v>
      </c>
      <c r="D250" t="s">
        <v>745</v>
      </c>
      <c r="E250" t="s">
        <v>1295</v>
      </c>
      <c r="F250" t="s">
        <v>1296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 t="s">
        <v>102</v>
      </c>
      <c r="R250" t="s">
        <v>102</v>
      </c>
      <c r="S250" t="s">
        <v>102</v>
      </c>
      <c r="T250" t="s">
        <v>102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 t="s">
        <v>102</v>
      </c>
      <c r="AC250" t="s">
        <v>102</v>
      </c>
      <c r="AD250" t="s">
        <v>102</v>
      </c>
      <c r="AE250" t="s">
        <v>102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</row>
    <row r="251" spans="1:43" x14ac:dyDescent="0.35">
      <c r="A251" t="s">
        <v>1297</v>
      </c>
      <c r="B251" t="s">
        <v>1298</v>
      </c>
      <c r="C251" t="s">
        <v>1299</v>
      </c>
      <c r="D251" t="s">
        <v>1300</v>
      </c>
      <c r="E251" t="s">
        <v>1301</v>
      </c>
      <c r="F251" t="s">
        <v>1302</v>
      </c>
      <c r="G251" t="s">
        <v>102</v>
      </c>
      <c r="H251" t="s">
        <v>102</v>
      </c>
      <c r="I251" t="s">
        <v>102</v>
      </c>
      <c r="J251" t="s">
        <v>102</v>
      </c>
      <c r="K251" t="s">
        <v>102</v>
      </c>
      <c r="L251" t="s">
        <v>102</v>
      </c>
      <c r="M251" t="s">
        <v>102</v>
      </c>
      <c r="N251" t="s">
        <v>102</v>
      </c>
      <c r="O251" t="s">
        <v>102</v>
      </c>
      <c r="P251" t="s">
        <v>102</v>
      </c>
      <c r="Q251" t="s">
        <v>102</v>
      </c>
      <c r="R251" t="s">
        <v>102</v>
      </c>
      <c r="S251" t="s">
        <v>102</v>
      </c>
      <c r="T251" t="s">
        <v>102</v>
      </c>
      <c r="U251" t="s">
        <v>102</v>
      </c>
      <c r="V251" t="s">
        <v>102</v>
      </c>
      <c r="W251" t="s">
        <v>102</v>
      </c>
      <c r="X251" t="s">
        <v>102</v>
      </c>
      <c r="Y251" t="s">
        <v>102</v>
      </c>
      <c r="Z251" t="s">
        <v>102</v>
      </c>
      <c r="AA251" t="s">
        <v>102</v>
      </c>
      <c r="AB251" t="s">
        <v>102</v>
      </c>
      <c r="AC251" t="s">
        <v>102</v>
      </c>
      <c r="AD251" t="s">
        <v>102</v>
      </c>
      <c r="AE251" t="s">
        <v>102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</row>
    <row r="252" spans="1:43" x14ac:dyDescent="0.35">
      <c r="A252" t="s">
        <v>1303</v>
      </c>
      <c r="B252" t="s">
        <v>1304</v>
      </c>
      <c r="C252" t="s">
        <v>1305</v>
      </c>
      <c r="D252" t="s">
        <v>1306</v>
      </c>
      <c r="E252" t="s">
        <v>1307</v>
      </c>
      <c r="F252" t="s">
        <v>1308</v>
      </c>
      <c r="G252" t="s">
        <v>102</v>
      </c>
      <c r="H252" t="s">
        <v>102</v>
      </c>
      <c r="I252" t="s">
        <v>102</v>
      </c>
      <c r="J252" t="s">
        <v>102</v>
      </c>
      <c r="K252" t="s">
        <v>102</v>
      </c>
      <c r="L252" t="s">
        <v>102</v>
      </c>
      <c r="M252" t="s">
        <v>102</v>
      </c>
      <c r="N252" t="s">
        <v>102</v>
      </c>
      <c r="O252" t="s">
        <v>102</v>
      </c>
      <c r="P252" t="s">
        <v>102</v>
      </c>
      <c r="Q252" t="s">
        <v>102</v>
      </c>
      <c r="R252" t="s">
        <v>102</v>
      </c>
      <c r="S252" t="s">
        <v>102</v>
      </c>
      <c r="T252" t="s">
        <v>102</v>
      </c>
      <c r="U252" t="s">
        <v>102</v>
      </c>
      <c r="V252" t="s">
        <v>102</v>
      </c>
      <c r="W252" t="s">
        <v>102</v>
      </c>
      <c r="X252" t="s">
        <v>102</v>
      </c>
      <c r="Y252" t="s">
        <v>102</v>
      </c>
      <c r="Z252" t="s">
        <v>102</v>
      </c>
      <c r="AA252" t="s">
        <v>102</v>
      </c>
      <c r="AB252" t="s">
        <v>102</v>
      </c>
      <c r="AC252" t="s">
        <v>102</v>
      </c>
      <c r="AD252" t="s">
        <v>102</v>
      </c>
      <c r="AE252" t="s">
        <v>102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</row>
    <row r="253" spans="1:43" x14ac:dyDescent="0.35">
      <c r="A253" t="s">
        <v>1309</v>
      </c>
      <c r="B253" t="s">
        <v>1310</v>
      </c>
      <c r="C253" t="s">
        <v>1311</v>
      </c>
      <c r="D253" t="s">
        <v>1312</v>
      </c>
      <c r="E253" t="s">
        <v>1313</v>
      </c>
      <c r="F253" t="s">
        <v>1314</v>
      </c>
      <c r="G253" t="s">
        <v>102</v>
      </c>
      <c r="H253" t="s">
        <v>102</v>
      </c>
      <c r="I253" t="s">
        <v>102</v>
      </c>
      <c r="J253" t="s">
        <v>102</v>
      </c>
      <c r="K253" t="s">
        <v>102</v>
      </c>
      <c r="L253" t="s">
        <v>102</v>
      </c>
      <c r="M253" t="s">
        <v>102</v>
      </c>
      <c r="N253" t="s">
        <v>102</v>
      </c>
      <c r="O253" t="s">
        <v>102</v>
      </c>
      <c r="P253" t="s">
        <v>102</v>
      </c>
      <c r="Q253" t="s">
        <v>102</v>
      </c>
      <c r="R253" t="s">
        <v>102</v>
      </c>
      <c r="S253" t="s">
        <v>102</v>
      </c>
      <c r="T253" t="s">
        <v>102</v>
      </c>
      <c r="U253" t="s">
        <v>102</v>
      </c>
      <c r="V253" t="s">
        <v>102</v>
      </c>
      <c r="W253" t="s">
        <v>102</v>
      </c>
      <c r="X253" t="s">
        <v>102</v>
      </c>
      <c r="Y253" t="s">
        <v>102</v>
      </c>
      <c r="Z253" t="s">
        <v>102</v>
      </c>
      <c r="AA253" t="s">
        <v>102</v>
      </c>
      <c r="AB253" t="s">
        <v>102</v>
      </c>
      <c r="AC253" t="s">
        <v>102</v>
      </c>
      <c r="AD253" t="s">
        <v>102</v>
      </c>
      <c r="AE253" t="s">
        <v>102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</row>
    <row r="254" spans="1:43" x14ac:dyDescent="0.35">
      <c r="A254" t="s">
        <v>1315</v>
      </c>
      <c r="B254" t="s">
        <v>1316</v>
      </c>
      <c r="C254" t="s">
        <v>1317</v>
      </c>
      <c r="D254" t="s">
        <v>1318</v>
      </c>
      <c r="E254" t="s">
        <v>1319</v>
      </c>
      <c r="F254" t="s">
        <v>1320</v>
      </c>
      <c r="G254" t="s">
        <v>102</v>
      </c>
      <c r="H254" t="s">
        <v>102</v>
      </c>
      <c r="I254" t="s">
        <v>102</v>
      </c>
      <c r="J254" t="s">
        <v>102</v>
      </c>
      <c r="K254" t="s">
        <v>102</v>
      </c>
      <c r="L254" t="s">
        <v>102</v>
      </c>
      <c r="M254" t="s">
        <v>102</v>
      </c>
      <c r="N254" t="s">
        <v>102</v>
      </c>
      <c r="O254" t="s">
        <v>102</v>
      </c>
      <c r="P254" t="s">
        <v>102</v>
      </c>
      <c r="Q254" t="s">
        <v>102</v>
      </c>
      <c r="R254" t="s">
        <v>102</v>
      </c>
      <c r="S254" t="s">
        <v>102</v>
      </c>
      <c r="T254" t="s">
        <v>102</v>
      </c>
      <c r="U254" t="s">
        <v>102</v>
      </c>
      <c r="V254" t="s">
        <v>102</v>
      </c>
      <c r="W254" t="s">
        <v>102</v>
      </c>
      <c r="X254" t="s">
        <v>102</v>
      </c>
      <c r="Y254" t="s">
        <v>102</v>
      </c>
      <c r="Z254" t="s">
        <v>102</v>
      </c>
      <c r="AA254" t="s">
        <v>102</v>
      </c>
      <c r="AB254" t="s">
        <v>102</v>
      </c>
      <c r="AC254" t="s">
        <v>102</v>
      </c>
      <c r="AD254" t="s">
        <v>102</v>
      </c>
      <c r="AE254" t="s">
        <v>102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</row>
    <row r="255" spans="1:43" x14ac:dyDescent="0.35">
      <c r="A255" t="s">
        <v>1321</v>
      </c>
      <c r="B255" t="s">
        <v>1322</v>
      </c>
      <c r="C255" t="s">
        <v>1323</v>
      </c>
      <c r="D255" t="s">
        <v>1324</v>
      </c>
      <c r="E255" t="s">
        <v>1325</v>
      </c>
      <c r="F255" t="s">
        <v>1326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 t="s">
        <v>102</v>
      </c>
      <c r="R255" t="s">
        <v>102</v>
      </c>
      <c r="S255" t="s">
        <v>102</v>
      </c>
      <c r="T255" t="s">
        <v>102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 t="s">
        <v>102</v>
      </c>
      <c r="AC255" t="s">
        <v>102</v>
      </c>
      <c r="AD255" t="s">
        <v>102</v>
      </c>
      <c r="AE255" t="s">
        <v>102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</row>
    <row r="256" spans="1:43" x14ac:dyDescent="0.35">
      <c r="A256" t="s">
        <v>1327</v>
      </c>
      <c r="B256" t="s">
        <v>1328</v>
      </c>
      <c r="C256" t="s">
        <v>1329</v>
      </c>
      <c r="D256" t="s">
        <v>1330</v>
      </c>
      <c r="E256" t="s">
        <v>1331</v>
      </c>
      <c r="F256" t="s">
        <v>1332</v>
      </c>
      <c r="G256" t="s">
        <v>102</v>
      </c>
      <c r="H256" t="s">
        <v>102</v>
      </c>
      <c r="I256" t="s">
        <v>102</v>
      </c>
      <c r="J256" t="s">
        <v>102</v>
      </c>
      <c r="K256" t="s">
        <v>102</v>
      </c>
      <c r="L256" t="s">
        <v>102</v>
      </c>
      <c r="M256" t="s">
        <v>102</v>
      </c>
      <c r="N256" t="s">
        <v>102</v>
      </c>
      <c r="O256" t="s">
        <v>102</v>
      </c>
      <c r="P256" t="s">
        <v>102</v>
      </c>
      <c r="Q256" t="s">
        <v>102</v>
      </c>
      <c r="R256" t="s">
        <v>102</v>
      </c>
      <c r="S256" t="s">
        <v>102</v>
      </c>
      <c r="T256" t="s">
        <v>102</v>
      </c>
      <c r="U256" t="s">
        <v>102</v>
      </c>
      <c r="V256" t="s">
        <v>102</v>
      </c>
      <c r="W256" t="s">
        <v>102</v>
      </c>
      <c r="X256" t="s">
        <v>102</v>
      </c>
      <c r="Y256" t="s">
        <v>102</v>
      </c>
      <c r="Z256" t="s">
        <v>102</v>
      </c>
      <c r="AA256" t="s">
        <v>102</v>
      </c>
      <c r="AB256" t="s">
        <v>102</v>
      </c>
      <c r="AC256" t="s">
        <v>102</v>
      </c>
      <c r="AD256" t="s">
        <v>102</v>
      </c>
      <c r="AE256" t="s">
        <v>102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</row>
    <row r="257" spans="1:43" x14ac:dyDescent="0.35">
      <c r="A257" t="s">
        <v>1333</v>
      </c>
      <c r="B257" t="s">
        <v>1334</v>
      </c>
      <c r="C257" t="s">
        <v>1335</v>
      </c>
      <c r="D257" t="s">
        <v>1336</v>
      </c>
      <c r="E257" t="s">
        <v>1337</v>
      </c>
      <c r="F257" t="s">
        <v>1338</v>
      </c>
      <c r="G257" t="s">
        <v>102</v>
      </c>
      <c r="H257" t="s">
        <v>102</v>
      </c>
      <c r="I257" t="s">
        <v>102</v>
      </c>
      <c r="J257" t="s">
        <v>102</v>
      </c>
      <c r="K257" t="s">
        <v>102</v>
      </c>
      <c r="L257" t="s">
        <v>102</v>
      </c>
      <c r="M257" t="s">
        <v>102</v>
      </c>
      <c r="N257" t="s">
        <v>102</v>
      </c>
      <c r="O257" t="s">
        <v>102</v>
      </c>
      <c r="P257" t="s">
        <v>102</v>
      </c>
      <c r="Q257" t="s">
        <v>102</v>
      </c>
      <c r="R257" t="s">
        <v>102</v>
      </c>
      <c r="S257" t="s">
        <v>102</v>
      </c>
      <c r="T257" t="s">
        <v>102</v>
      </c>
      <c r="U257" t="s">
        <v>102</v>
      </c>
      <c r="V257" t="s">
        <v>102</v>
      </c>
      <c r="W257" t="s">
        <v>102</v>
      </c>
      <c r="X257" t="s">
        <v>102</v>
      </c>
      <c r="Y257" t="s">
        <v>102</v>
      </c>
      <c r="Z257" t="s">
        <v>102</v>
      </c>
      <c r="AA257" t="s">
        <v>102</v>
      </c>
      <c r="AB257" t="s">
        <v>102</v>
      </c>
      <c r="AC257" t="s">
        <v>102</v>
      </c>
      <c r="AD257" t="s">
        <v>102</v>
      </c>
      <c r="AE257" t="s">
        <v>102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</row>
    <row r="258" spans="1:43" x14ac:dyDescent="0.35">
      <c r="A258" t="s">
        <v>1339</v>
      </c>
      <c r="B258" t="s">
        <v>1340</v>
      </c>
      <c r="C258" t="s">
        <v>1341</v>
      </c>
      <c r="D258" t="s">
        <v>1342</v>
      </c>
      <c r="E258" t="s">
        <v>1343</v>
      </c>
      <c r="F258" t="s">
        <v>1344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</row>
    <row r="259" spans="1:43" x14ac:dyDescent="0.35">
      <c r="A259" t="s">
        <v>1345</v>
      </c>
      <c r="B259" t="s">
        <v>1346</v>
      </c>
      <c r="C259" t="s">
        <v>1347</v>
      </c>
      <c r="D259" t="s">
        <v>1348</v>
      </c>
      <c r="E259" t="s">
        <v>1349</v>
      </c>
      <c r="F259" t="s">
        <v>1350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</row>
    <row r="260" spans="1:43" x14ac:dyDescent="0.35">
      <c r="A260" t="s">
        <v>1351</v>
      </c>
      <c r="B260" t="s">
        <v>1352</v>
      </c>
      <c r="C260" t="s">
        <v>1353</v>
      </c>
      <c r="D260" t="s">
        <v>1354</v>
      </c>
      <c r="E260" t="s">
        <v>1355</v>
      </c>
      <c r="F260" t="s">
        <v>1356</v>
      </c>
      <c r="G260" t="s">
        <v>102</v>
      </c>
      <c r="H260" t="s">
        <v>102</v>
      </c>
      <c r="I260" t="s">
        <v>102</v>
      </c>
      <c r="J260" t="s">
        <v>102</v>
      </c>
      <c r="K260" t="s">
        <v>102</v>
      </c>
      <c r="L260" t="s">
        <v>102</v>
      </c>
      <c r="M260" t="s">
        <v>102</v>
      </c>
      <c r="N260" t="s">
        <v>102</v>
      </c>
      <c r="O260" t="s">
        <v>102</v>
      </c>
      <c r="P260" t="s">
        <v>102</v>
      </c>
      <c r="Q260" t="s">
        <v>102</v>
      </c>
      <c r="R260" t="s">
        <v>102</v>
      </c>
      <c r="S260" t="s">
        <v>102</v>
      </c>
      <c r="T260" t="s">
        <v>102</v>
      </c>
      <c r="U260" t="s">
        <v>102</v>
      </c>
      <c r="V260" t="s">
        <v>102</v>
      </c>
      <c r="W260" t="s">
        <v>102</v>
      </c>
      <c r="X260" t="s">
        <v>102</v>
      </c>
      <c r="Y260" t="s">
        <v>102</v>
      </c>
      <c r="Z260" t="s">
        <v>102</v>
      </c>
      <c r="AA260" t="s">
        <v>102</v>
      </c>
      <c r="AB260" t="s">
        <v>102</v>
      </c>
      <c r="AC260" t="s">
        <v>102</v>
      </c>
      <c r="AD260" t="s">
        <v>102</v>
      </c>
      <c r="AE260" t="s">
        <v>102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</row>
    <row r="261" spans="1:43" x14ac:dyDescent="0.35">
      <c r="A261" t="s">
        <v>1357</v>
      </c>
      <c r="B261" t="s">
        <v>1358</v>
      </c>
      <c r="C261" t="s">
        <v>1359</v>
      </c>
      <c r="D261" t="s">
        <v>1360</v>
      </c>
      <c r="E261" t="s">
        <v>1361</v>
      </c>
      <c r="F261" t="s">
        <v>1362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 t="s">
        <v>102</v>
      </c>
      <c r="R261" t="s">
        <v>102</v>
      </c>
      <c r="S261" t="s">
        <v>102</v>
      </c>
      <c r="T261" t="s">
        <v>102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 t="s">
        <v>102</v>
      </c>
      <c r="AC261" t="s">
        <v>102</v>
      </c>
      <c r="AD261" t="s">
        <v>102</v>
      </c>
      <c r="AE261" t="s">
        <v>102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</row>
    <row r="262" spans="1:43" x14ac:dyDescent="0.3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1368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 t="s">
        <v>102</v>
      </c>
      <c r="R262" t="s">
        <v>102</v>
      </c>
      <c r="S262" t="s">
        <v>102</v>
      </c>
      <c r="T262" t="s">
        <v>102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 t="s">
        <v>102</v>
      </c>
      <c r="AC262" t="s">
        <v>102</v>
      </c>
      <c r="AD262" t="s">
        <v>102</v>
      </c>
      <c r="AE262" t="s">
        <v>102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</row>
    <row r="263" spans="1:43" x14ac:dyDescent="0.35">
      <c r="A263" t="s">
        <v>1369</v>
      </c>
      <c r="B263" t="s">
        <v>1370</v>
      </c>
      <c r="C263" t="s">
        <v>1371</v>
      </c>
      <c r="D263" t="s">
        <v>1372</v>
      </c>
      <c r="E263" t="s">
        <v>1373</v>
      </c>
      <c r="F263" t="s">
        <v>1374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 t="s">
        <v>102</v>
      </c>
      <c r="R263" t="s">
        <v>102</v>
      </c>
      <c r="S263" t="s">
        <v>102</v>
      </c>
      <c r="T263" t="s">
        <v>102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 t="s">
        <v>102</v>
      </c>
      <c r="AC263" t="s">
        <v>102</v>
      </c>
      <c r="AD263" t="s">
        <v>102</v>
      </c>
      <c r="AE263" t="s">
        <v>102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</row>
    <row r="264" spans="1:43" x14ac:dyDescent="0.35">
      <c r="A264" t="s">
        <v>1375</v>
      </c>
      <c r="B264" t="s">
        <v>1376</v>
      </c>
      <c r="C264" t="s">
        <v>1377</v>
      </c>
      <c r="D264" t="s">
        <v>1378</v>
      </c>
      <c r="E264" t="s">
        <v>1379</v>
      </c>
      <c r="F264" t="s">
        <v>1380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 t="s">
        <v>102</v>
      </c>
      <c r="R264" t="s">
        <v>102</v>
      </c>
      <c r="S264" t="s">
        <v>102</v>
      </c>
      <c r="T264" t="s">
        <v>102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 t="s">
        <v>102</v>
      </c>
      <c r="AC264" t="s">
        <v>102</v>
      </c>
      <c r="AD264" t="s">
        <v>102</v>
      </c>
      <c r="AE264" t="s">
        <v>102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</row>
    <row r="265" spans="1:43" x14ac:dyDescent="0.35">
      <c r="A265" t="s">
        <v>1381</v>
      </c>
      <c r="B265" t="s">
        <v>1382</v>
      </c>
      <c r="C265" t="s">
        <v>1383</v>
      </c>
      <c r="D265" t="s">
        <v>1384</v>
      </c>
      <c r="E265" t="s">
        <v>1385</v>
      </c>
      <c r="F265" t="s">
        <v>1386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 t="s">
        <v>102</v>
      </c>
      <c r="R265" t="s">
        <v>102</v>
      </c>
      <c r="S265" t="s">
        <v>102</v>
      </c>
      <c r="T265" t="s">
        <v>102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 t="s">
        <v>102</v>
      </c>
      <c r="AC265" t="s">
        <v>102</v>
      </c>
      <c r="AD265" t="s">
        <v>102</v>
      </c>
      <c r="AE265" t="s">
        <v>102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</row>
    <row r="266" spans="1:43" x14ac:dyDescent="0.35">
      <c r="A266" t="s">
        <v>1387</v>
      </c>
      <c r="B266" t="s">
        <v>1388</v>
      </c>
      <c r="C266" t="s">
        <v>1389</v>
      </c>
      <c r="D266" t="s">
        <v>1390</v>
      </c>
      <c r="E266" t="s">
        <v>1391</v>
      </c>
      <c r="F266" t="s">
        <v>1392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 t="s">
        <v>102</v>
      </c>
      <c r="R266" t="s">
        <v>102</v>
      </c>
      <c r="S266" t="s">
        <v>102</v>
      </c>
      <c r="T266" t="s">
        <v>102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 t="s">
        <v>102</v>
      </c>
      <c r="AC266" t="s">
        <v>102</v>
      </c>
      <c r="AD266" t="s">
        <v>102</v>
      </c>
      <c r="AE266" t="s">
        <v>102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</row>
    <row r="267" spans="1:43" x14ac:dyDescent="0.35">
      <c r="A267" t="s">
        <v>1393</v>
      </c>
      <c r="B267" t="s">
        <v>1394</v>
      </c>
      <c r="C267" t="s">
        <v>1395</v>
      </c>
      <c r="D267" t="s">
        <v>1396</v>
      </c>
      <c r="E267" t="s">
        <v>1397</v>
      </c>
      <c r="F267" t="s">
        <v>1398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 t="s">
        <v>102</v>
      </c>
      <c r="R267" t="s">
        <v>102</v>
      </c>
      <c r="S267" t="s">
        <v>102</v>
      </c>
      <c r="T267" t="s">
        <v>102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 t="s">
        <v>102</v>
      </c>
      <c r="AC267" t="s">
        <v>102</v>
      </c>
      <c r="AD267" t="s">
        <v>102</v>
      </c>
      <c r="AE267" t="s">
        <v>102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</row>
    <row r="268" spans="1:43" x14ac:dyDescent="0.35">
      <c r="A268" t="s">
        <v>1399</v>
      </c>
      <c r="B268" t="s">
        <v>1400</v>
      </c>
      <c r="C268" t="s">
        <v>1401</v>
      </c>
      <c r="D268" t="s">
        <v>1402</v>
      </c>
      <c r="E268" t="s">
        <v>1403</v>
      </c>
      <c r="F268" t="s">
        <v>1404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 t="s">
        <v>102</v>
      </c>
      <c r="R268" t="s">
        <v>102</v>
      </c>
      <c r="S268" t="s">
        <v>102</v>
      </c>
      <c r="T268" t="s">
        <v>102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 t="s">
        <v>102</v>
      </c>
      <c r="AC268" t="s">
        <v>102</v>
      </c>
      <c r="AD268" t="s">
        <v>102</v>
      </c>
      <c r="AE268" t="s">
        <v>102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</row>
    <row r="269" spans="1:43" x14ac:dyDescent="0.35">
      <c r="A269" t="s">
        <v>1405</v>
      </c>
      <c r="B269" t="s">
        <v>1406</v>
      </c>
      <c r="C269" t="s">
        <v>1407</v>
      </c>
      <c r="D269" t="s">
        <v>1408</v>
      </c>
      <c r="E269" t="s">
        <v>1409</v>
      </c>
      <c r="F269" t="s">
        <v>1410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 t="s">
        <v>102</v>
      </c>
      <c r="R269" t="s">
        <v>102</v>
      </c>
      <c r="S269" t="s">
        <v>102</v>
      </c>
      <c r="T269" t="s">
        <v>102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 t="s">
        <v>102</v>
      </c>
      <c r="AC269" t="s">
        <v>102</v>
      </c>
      <c r="AD269" t="s">
        <v>102</v>
      </c>
      <c r="AE269" t="s">
        <v>102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</row>
    <row r="270" spans="1:43" x14ac:dyDescent="0.35">
      <c r="A270" t="s">
        <v>1411</v>
      </c>
      <c r="B270" t="s">
        <v>1412</v>
      </c>
      <c r="C270" t="s">
        <v>1413</v>
      </c>
      <c r="D270" t="s">
        <v>1414</v>
      </c>
      <c r="E270" t="s">
        <v>1415</v>
      </c>
      <c r="F270" t="s">
        <v>1416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 t="s">
        <v>102</v>
      </c>
      <c r="R270" t="s">
        <v>102</v>
      </c>
      <c r="S270" t="s">
        <v>102</v>
      </c>
      <c r="T270" t="s">
        <v>102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 t="s">
        <v>102</v>
      </c>
      <c r="AC270" t="s">
        <v>102</v>
      </c>
      <c r="AD270" t="s">
        <v>102</v>
      </c>
      <c r="AE270" t="s">
        <v>102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</row>
    <row r="271" spans="1:43" x14ac:dyDescent="0.35">
      <c r="A271" t="s">
        <v>1417</v>
      </c>
      <c r="B271" t="s">
        <v>1418</v>
      </c>
      <c r="C271" t="s">
        <v>1419</v>
      </c>
      <c r="D271" t="s">
        <v>1420</v>
      </c>
      <c r="E271" t="s">
        <v>1421</v>
      </c>
      <c r="F271" t="s">
        <v>1422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 t="s">
        <v>102</v>
      </c>
      <c r="R271" t="s">
        <v>102</v>
      </c>
      <c r="S271" t="s">
        <v>102</v>
      </c>
      <c r="T271" t="s">
        <v>102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 t="s">
        <v>102</v>
      </c>
      <c r="AC271" t="s">
        <v>102</v>
      </c>
      <c r="AD271" t="s">
        <v>102</v>
      </c>
      <c r="AE271" t="s">
        <v>102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</row>
    <row r="272" spans="1:43" x14ac:dyDescent="0.35">
      <c r="A272" t="s">
        <v>1423</v>
      </c>
      <c r="B272" t="s">
        <v>1424</v>
      </c>
      <c r="C272" t="s">
        <v>1425</v>
      </c>
      <c r="D272" t="s">
        <v>1426</v>
      </c>
      <c r="E272" t="s">
        <v>1427</v>
      </c>
      <c r="F272" t="s">
        <v>1428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 t="s">
        <v>102</v>
      </c>
      <c r="R272" t="s">
        <v>102</v>
      </c>
      <c r="S272" t="s">
        <v>102</v>
      </c>
      <c r="T272" t="s">
        <v>102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 t="s">
        <v>102</v>
      </c>
      <c r="AC272" t="s">
        <v>102</v>
      </c>
      <c r="AD272" t="s">
        <v>102</v>
      </c>
      <c r="AE272" t="s">
        <v>102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</row>
    <row r="273" spans="1:43" x14ac:dyDescent="0.35">
      <c r="A273" t="s">
        <v>1429</v>
      </c>
      <c r="B273" t="s">
        <v>1430</v>
      </c>
      <c r="C273" t="s">
        <v>1431</v>
      </c>
      <c r="D273" t="s">
        <v>1432</v>
      </c>
      <c r="E273" t="s">
        <v>1433</v>
      </c>
      <c r="F273" t="s">
        <v>1434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</row>
    <row r="274" spans="1:43" x14ac:dyDescent="0.35">
      <c r="A274" t="s">
        <v>1435</v>
      </c>
      <c r="B274" t="s">
        <v>1436</v>
      </c>
      <c r="C274" t="s">
        <v>1437</v>
      </c>
      <c r="D274" t="s">
        <v>1438</v>
      </c>
      <c r="E274" t="s">
        <v>1439</v>
      </c>
      <c r="F274" t="s">
        <v>1440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</row>
    <row r="275" spans="1:43" x14ac:dyDescent="0.35">
      <c r="A275" t="s">
        <v>1441</v>
      </c>
      <c r="B275" t="s">
        <v>1442</v>
      </c>
      <c r="C275" t="s">
        <v>1443</v>
      </c>
      <c r="D275" t="s">
        <v>1444</v>
      </c>
      <c r="E275" t="s">
        <v>1445</v>
      </c>
      <c r="F275" t="s">
        <v>1446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</row>
    <row r="276" spans="1:43" x14ac:dyDescent="0.35">
      <c r="A276" t="s">
        <v>1447</v>
      </c>
      <c r="B276" t="s">
        <v>1448</v>
      </c>
      <c r="C276" t="s">
        <v>1449</v>
      </c>
      <c r="D276" t="s">
        <v>1450</v>
      </c>
      <c r="E276" t="s">
        <v>1451</v>
      </c>
      <c r="F276" t="s">
        <v>1452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</row>
    <row r="277" spans="1:43" x14ac:dyDescent="0.35">
      <c r="A277" t="s">
        <v>1453</v>
      </c>
      <c r="B277" t="s">
        <v>1454</v>
      </c>
      <c r="C277" t="s">
        <v>1455</v>
      </c>
      <c r="D277" t="s">
        <v>1456</v>
      </c>
      <c r="E277" t="s">
        <v>1457</v>
      </c>
      <c r="F277" t="s">
        <v>1458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 t="s">
        <v>102</v>
      </c>
      <c r="R277" t="s">
        <v>102</v>
      </c>
      <c r="S277" t="s">
        <v>102</v>
      </c>
      <c r="T277" t="s">
        <v>102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 t="s">
        <v>102</v>
      </c>
      <c r="AC277" t="s">
        <v>102</v>
      </c>
      <c r="AD277" t="s">
        <v>102</v>
      </c>
      <c r="AE277" t="s">
        <v>102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</row>
    <row r="278" spans="1:43" x14ac:dyDescent="0.35">
      <c r="A278" t="s">
        <v>1459</v>
      </c>
      <c r="B278" t="s">
        <v>1460</v>
      </c>
      <c r="C278" t="s">
        <v>1461</v>
      </c>
      <c r="D278" t="s">
        <v>1462</v>
      </c>
      <c r="E278" t="s">
        <v>1463</v>
      </c>
      <c r="F278" t="s">
        <v>1464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 t="s">
        <v>102</v>
      </c>
      <c r="R278" t="s">
        <v>102</v>
      </c>
      <c r="S278" t="s">
        <v>102</v>
      </c>
      <c r="T278" t="s">
        <v>102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 t="s">
        <v>102</v>
      </c>
      <c r="AC278" t="s">
        <v>102</v>
      </c>
      <c r="AD278" t="s">
        <v>102</v>
      </c>
      <c r="AE278" t="s">
        <v>102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</row>
    <row r="279" spans="1:43" x14ac:dyDescent="0.35">
      <c r="A279" t="s">
        <v>1465</v>
      </c>
      <c r="B279" t="s">
        <v>1466</v>
      </c>
      <c r="C279" t="s">
        <v>1467</v>
      </c>
      <c r="D279" t="s">
        <v>1468</v>
      </c>
      <c r="E279" t="s">
        <v>1469</v>
      </c>
      <c r="F279" t="s">
        <v>1470</v>
      </c>
      <c r="G279" t="s">
        <v>102</v>
      </c>
      <c r="H279" t="s">
        <v>102</v>
      </c>
      <c r="I279" t="s">
        <v>102</v>
      </c>
      <c r="J279" t="s">
        <v>102</v>
      </c>
      <c r="K279" t="s">
        <v>102</v>
      </c>
      <c r="L279" t="s">
        <v>102</v>
      </c>
      <c r="M279" t="s">
        <v>102</v>
      </c>
      <c r="N279" t="s">
        <v>102</v>
      </c>
      <c r="O279" t="s">
        <v>102</v>
      </c>
      <c r="P279" t="s">
        <v>102</v>
      </c>
      <c r="Q279" t="s">
        <v>102</v>
      </c>
      <c r="R279" t="s">
        <v>102</v>
      </c>
      <c r="S279" t="s">
        <v>102</v>
      </c>
      <c r="T279" t="s">
        <v>102</v>
      </c>
      <c r="U279" t="s">
        <v>102</v>
      </c>
      <c r="V279" t="s">
        <v>102</v>
      </c>
      <c r="W279" t="s">
        <v>102</v>
      </c>
      <c r="X279" t="s">
        <v>102</v>
      </c>
      <c r="Y279" t="s">
        <v>102</v>
      </c>
      <c r="Z279" t="s">
        <v>102</v>
      </c>
      <c r="AA279" t="s">
        <v>102</v>
      </c>
      <c r="AB279" t="s">
        <v>102</v>
      </c>
      <c r="AC279" t="s">
        <v>102</v>
      </c>
      <c r="AD279" t="s">
        <v>102</v>
      </c>
      <c r="AE279" t="s">
        <v>102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</row>
    <row r="280" spans="1:43" x14ac:dyDescent="0.35">
      <c r="A280" t="s">
        <v>1471</v>
      </c>
      <c r="B280" t="s">
        <v>1472</v>
      </c>
      <c r="C280" t="s">
        <v>1473</v>
      </c>
      <c r="D280" t="s">
        <v>1474</v>
      </c>
      <c r="E280" t="s">
        <v>1475</v>
      </c>
      <c r="F280" t="s">
        <v>1476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 t="s">
        <v>102</v>
      </c>
      <c r="R280" t="s">
        <v>102</v>
      </c>
      <c r="S280" t="s">
        <v>102</v>
      </c>
      <c r="T280" t="s">
        <v>102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 t="s">
        <v>102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</row>
    <row r="281" spans="1:43" x14ac:dyDescent="0.35">
      <c r="A281" t="s">
        <v>1477</v>
      </c>
      <c r="B281" t="s">
        <v>1478</v>
      </c>
      <c r="C281" t="s">
        <v>1479</v>
      </c>
      <c r="D281" t="s">
        <v>1480</v>
      </c>
      <c r="E281" t="s">
        <v>1481</v>
      </c>
      <c r="F281" t="s">
        <v>1482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 t="s">
        <v>102</v>
      </c>
      <c r="R281" t="s">
        <v>102</v>
      </c>
      <c r="S281" t="s">
        <v>102</v>
      </c>
      <c r="T281" t="s">
        <v>102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 t="s">
        <v>102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</row>
    <row r="282" spans="1:43" x14ac:dyDescent="0.35">
      <c r="A282" t="s">
        <v>1483</v>
      </c>
      <c r="B282" t="s">
        <v>1484</v>
      </c>
      <c r="C282" t="s">
        <v>1485</v>
      </c>
      <c r="D282" t="s">
        <v>1486</v>
      </c>
      <c r="E282" t="s">
        <v>1487</v>
      </c>
      <c r="F282" t="s">
        <v>1488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 t="s">
        <v>102</v>
      </c>
      <c r="R282" t="s">
        <v>102</v>
      </c>
      <c r="S282" t="s">
        <v>102</v>
      </c>
      <c r="T282" t="s">
        <v>102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 t="s">
        <v>102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</row>
    <row r="283" spans="1:43" x14ac:dyDescent="0.35">
      <c r="A283" t="s">
        <v>1489</v>
      </c>
      <c r="B283" t="s">
        <v>1490</v>
      </c>
      <c r="C283" t="s">
        <v>1491</v>
      </c>
      <c r="D283" t="s">
        <v>1492</v>
      </c>
      <c r="E283" t="s">
        <v>1493</v>
      </c>
      <c r="F283" t="s">
        <v>1494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 t="s">
        <v>102</v>
      </c>
      <c r="R283" t="s">
        <v>102</v>
      </c>
      <c r="S283" t="s">
        <v>102</v>
      </c>
      <c r="T283" t="s">
        <v>102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 t="s">
        <v>102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</row>
    <row r="284" spans="1:43" x14ac:dyDescent="0.35">
      <c r="A284" t="s">
        <v>1495</v>
      </c>
      <c r="B284" t="s">
        <v>1496</v>
      </c>
      <c r="C284" t="s">
        <v>1497</v>
      </c>
      <c r="D284" t="s">
        <v>1498</v>
      </c>
      <c r="E284" t="s">
        <v>1499</v>
      </c>
      <c r="F284" t="s">
        <v>1500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 t="s">
        <v>102</v>
      </c>
      <c r="R284" t="s">
        <v>102</v>
      </c>
      <c r="S284" t="s">
        <v>102</v>
      </c>
      <c r="T284" t="s">
        <v>102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 t="s">
        <v>102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</row>
    <row r="285" spans="1:43" x14ac:dyDescent="0.35">
      <c r="A285" t="s">
        <v>1501</v>
      </c>
      <c r="B285" t="s">
        <v>1502</v>
      </c>
      <c r="C285" t="s">
        <v>1503</v>
      </c>
      <c r="D285" t="s">
        <v>1504</v>
      </c>
      <c r="E285" t="s">
        <v>1505</v>
      </c>
      <c r="F285" t="s">
        <v>1506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 t="s">
        <v>102</v>
      </c>
      <c r="R285" t="s">
        <v>102</v>
      </c>
      <c r="S285" t="s">
        <v>102</v>
      </c>
      <c r="T285" t="s">
        <v>102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 t="s">
        <v>102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</row>
    <row r="286" spans="1:43" x14ac:dyDescent="0.35">
      <c r="A286" t="s">
        <v>1507</v>
      </c>
      <c r="B286" t="s">
        <v>1508</v>
      </c>
      <c r="C286" t="s">
        <v>1509</v>
      </c>
      <c r="D286" t="s">
        <v>1510</v>
      </c>
      <c r="E286" t="s">
        <v>1511</v>
      </c>
      <c r="F286" t="s">
        <v>1512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 t="s">
        <v>102</v>
      </c>
      <c r="R286" t="s">
        <v>102</v>
      </c>
      <c r="S286" t="s">
        <v>102</v>
      </c>
      <c r="T286" t="s">
        <v>102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 t="s">
        <v>102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</row>
    <row r="287" spans="1:43" x14ac:dyDescent="0.35">
      <c r="A287" t="s">
        <v>1513</v>
      </c>
      <c r="B287" t="s">
        <v>1514</v>
      </c>
      <c r="C287" t="s">
        <v>1515</v>
      </c>
      <c r="D287" t="s">
        <v>1516</v>
      </c>
      <c r="E287" t="s">
        <v>1517</v>
      </c>
      <c r="F287" t="s">
        <v>1518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 t="s">
        <v>102</v>
      </c>
      <c r="R287" t="s">
        <v>102</v>
      </c>
      <c r="S287" t="s">
        <v>102</v>
      </c>
      <c r="T287" t="s">
        <v>102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 t="s">
        <v>102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</row>
    <row r="288" spans="1:43" x14ac:dyDescent="0.35">
      <c r="A288" t="s">
        <v>1519</v>
      </c>
      <c r="B288" t="s">
        <v>1520</v>
      </c>
      <c r="C288" t="s">
        <v>1521</v>
      </c>
      <c r="D288" t="s">
        <v>1522</v>
      </c>
      <c r="E288" t="s">
        <v>1523</v>
      </c>
      <c r="F288" t="s">
        <v>1524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 t="s">
        <v>102</v>
      </c>
      <c r="R288" t="s">
        <v>102</v>
      </c>
      <c r="S288" t="s">
        <v>102</v>
      </c>
      <c r="T288" t="s">
        <v>102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 t="s">
        <v>102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</row>
    <row r="289" spans="1:43" x14ac:dyDescent="0.35">
      <c r="A289" t="s">
        <v>1525</v>
      </c>
      <c r="B289" t="s">
        <v>1526</v>
      </c>
      <c r="C289" t="s">
        <v>1527</v>
      </c>
      <c r="D289" t="s">
        <v>1528</v>
      </c>
      <c r="E289" t="s">
        <v>1529</v>
      </c>
      <c r="F289" t="s">
        <v>1530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 t="s">
        <v>102</v>
      </c>
      <c r="R289" t="s">
        <v>102</v>
      </c>
      <c r="S289" t="s">
        <v>102</v>
      </c>
      <c r="T289" t="s">
        <v>102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 t="s">
        <v>102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</row>
    <row r="290" spans="1:43" x14ac:dyDescent="0.35">
      <c r="A290" t="s">
        <v>1531</v>
      </c>
      <c r="B290" t="s">
        <v>1532</v>
      </c>
      <c r="C290" t="s">
        <v>1533</v>
      </c>
      <c r="D290" t="s">
        <v>1534</v>
      </c>
      <c r="E290" t="s">
        <v>1535</v>
      </c>
      <c r="F290" t="s">
        <v>1536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</row>
    <row r="291" spans="1:43" x14ac:dyDescent="0.35">
      <c r="A291" t="s">
        <v>1537</v>
      </c>
      <c r="B291" t="s">
        <v>1538</v>
      </c>
      <c r="C291" t="s">
        <v>1539</v>
      </c>
      <c r="D291" t="s">
        <v>1540</v>
      </c>
      <c r="E291" t="s">
        <v>1541</v>
      </c>
      <c r="F291" t="s">
        <v>1542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</row>
    <row r="292" spans="1:43" x14ac:dyDescent="0.35">
      <c r="A292" t="s">
        <v>1543</v>
      </c>
      <c r="B292" t="s">
        <v>1544</v>
      </c>
      <c r="C292" t="s">
        <v>1545</v>
      </c>
      <c r="D292" t="s">
        <v>1546</v>
      </c>
      <c r="E292" t="s">
        <v>1547</v>
      </c>
      <c r="F292" t="s">
        <v>1548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</row>
    <row r="293" spans="1:43" x14ac:dyDescent="0.35">
      <c r="A293" t="s">
        <v>1549</v>
      </c>
      <c r="B293" t="s">
        <v>1550</v>
      </c>
      <c r="C293" t="s">
        <v>1551</v>
      </c>
      <c r="D293" t="s">
        <v>1552</v>
      </c>
      <c r="E293" t="s">
        <v>1553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</row>
    <row r="294" spans="1:43" x14ac:dyDescent="0.35">
      <c r="A294" t="s">
        <v>1554</v>
      </c>
      <c r="B294" t="s">
        <v>8</v>
      </c>
      <c r="C294" t="s">
        <v>192</v>
      </c>
      <c r="D294" t="s">
        <v>193</v>
      </c>
      <c r="E294" t="s">
        <v>194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 t="s">
        <v>102</v>
      </c>
      <c r="R294" t="s">
        <v>102</v>
      </c>
      <c r="S294" t="s">
        <v>102</v>
      </c>
      <c r="T294" t="s">
        <v>102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 t="s">
        <v>102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</row>
    <row r="295" spans="1:43" x14ac:dyDescent="0.35">
      <c r="A295" t="s">
        <v>1555</v>
      </c>
      <c r="B295" t="s">
        <v>1556</v>
      </c>
      <c r="C295" t="s">
        <v>1557</v>
      </c>
      <c r="D295" t="s">
        <v>1558</v>
      </c>
      <c r="E295" t="s">
        <v>1559</v>
      </c>
      <c r="F295" t="s">
        <v>1560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 t="s">
        <v>102</v>
      </c>
      <c r="R295" t="s">
        <v>102</v>
      </c>
      <c r="S295" t="s">
        <v>102</v>
      </c>
      <c r="T295" t="s">
        <v>102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 t="s">
        <v>102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</row>
    <row r="296" spans="1:43" x14ac:dyDescent="0.35">
      <c r="A296" t="s">
        <v>1561</v>
      </c>
      <c r="B296" t="s">
        <v>1562</v>
      </c>
      <c r="C296" t="s">
        <v>1563</v>
      </c>
      <c r="D296" t="s">
        <v>693</v>
      </c>
      <c r="E296" t="s">
        <v>1564</v>
      </c>
      <c r="F296" t="s">
        <v>1565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 t="s">
        <v>102</v>
      </c>
      <c r="R296" t="s">
        <v>102</v>
      </c>
      <c r="S296" t="s">
        <v>102</v>
      </c>
      <c r="T296" t="s">
        <v>102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 t="s">
        <v>102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</row>
    <row r="297" spans="1:43" x14ac:dyDescent="0.35">
      <c r="A297" t="s">
        <v>1566</v>
      </c>
      <c r="B297" t="s">
        <v>1567</v>
      </c>
      <c r="C297" t="s">
        <v>1568</v>
      </c>
      <c r="D297" t="s">
        <v>1569</v>
      </c>
      <c r="E297" t="s">
        <v>1570</v>
      </c>
      <c r="F297" t="s">
        <v>1571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 t="s">
        <v>102</v>
      </c>
      <c r="R297" t="s">
        <v>102</v>
      </c>
      <c r="S297" t="s">
        <v>102</v>
      </c>
      <c r="T297" t="s">
        <v>102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 t="s">
        <v>102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</row>
    <row r="298" spans="1:43" x14ac:dyDescent="0.35">
      <c r="A298" t="s">
        <v>1572</v>
      </c>
      <c r="B298" t="s">
        <v>1418</v>
      </c>
      <c r="C298" t="s">
        <v>1419</v>
      </c>
      <c r="D298" t="s">
        <v>1420</v>
      </c>
      <c r="E298" t="s">
        <v>1421</v>
      </c>
      <c r="F298" t="s">
        <v>1422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 t="s">
        <v>102</v>
      </c>
      <c r="R298" t="s">
        <v>102</v>
      </c>
      <c r="S298" t="s">
        <v>102</v>
      </c>
      <c r="T298" t="s">
        <v>102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 t="s">
        <v>102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</row>
    <row r="299" spans="1:43" x14ac:dyDescent="0.35">
      <c r="A299" t="s">
        <v>1573</v>
      </c>
      <c r="B299" t="s">
        <v>1574</v>
      </c>
      <c r="C299" t="s">
        <v>1575</v>
      </c>
      <c r="D299" t="s">
        <v>1576</v>
      </c>
      <c r="E299" t="s">
        <v>1577</v>
      </c>
      <c r="F299" t="s">
        <v>1578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 t="s">
        <v>102</v>
      </c>
      <c r="R299" t="s">
        <v>102</v>
      </c>
      <c r="S299" t="s">
        <v>102</v>
      </c>
      <c r="T299" t="s">
        <v>102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 t="s">
        <v>102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</row>
    <row r="300" spans="1:43" x14ac:dyDescent="0.35">
      <c r="A300" t="s">
        <v>1579</v>
      </c>
      <c r="B300" t="s">
        <v>1580</v>
      </c>
      <c r="C300" t="s">
        <v>1581</v>
      </c>
      <c r="D300" t="s">
        <v>1582</v>
      </c>
      <c r="E300" t="s">
        <v>1583</v>
      </c>
      <c r="F300" t="s">
        <v>1584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 t="s">
        <v>102</v>
      </c>
      <c r="R300" t="s">
        <v>102</v>
      </c>
      <c r="S300" t="s">
        <v>102</v>
      </c>
      <c r="T300" t="s">
        <v>102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 t="s">
        <v>102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</row>
    <row r="301" spans="1:43" x14ac:dyDescent="0.35">
      <c r="A301" t="s">
        <v>1585</v>
      </c>
      <c r="B301" t="s">
        <v>1586</v>
      </c>
      <c r="C301" t="s">
        <v>1587</v>
      </c>
      <c r="D301" t="s">
        <v>1588</v>
      </c>
      <c r="E301" t="s">
        <v>1589</v>
      </c>
      <c r="F301" t="s">
        <v>1590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 t="s">
        <v>102</v>
      </c>
      <c r="R301" t="s">
        <v>102</v>
      </c>
      <c r="S301" t="s">
        <v>102</v>
      </c>
      <c r="T301" t="s">
        <v>102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 t="s">
        <v>102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</row>
    <row r="302" spans="1:43" x14ac:dyDescent="0.35">
      <c r="A302" t="s">
        <v>1591</v>
      </c>
      <c r="B302" t="s">
        <v>1592</v>
      </c>
      <c r="C302" t="s">
        <v>1593</v>
      </c>
      <c r="D302" t="s">
        <v>1594</v>
      </c>
      <c r="E302" t="s">
        <v>1595</v>
      </c>
      <c r="F302" t="s">
        <v>1596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 t="s">
        <v>102</v>
      </c>
      <c r="R302" t="s">
        <v>102</v>
      </c>
      <c r="S302" t="s">
        <v>102</v>
      </c>
      <c r="T302" t="s">
        <v>102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 t="s">
        <v>102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</row>
    <row r="303" spans="1:43" x14ac:dyDescent="0.35">
      <c r="A303" t="s">
        <v>1597</v>
      </c>
      <c r="B303" t="s">
        <v>1598</v>
      </c>
      <c r="C303" t="s">
        <v>1599</v>
      </c>
      <c r="D303" t="s">
        <v>1600</v>
      </c>
      <c r="E303" t="s">
        <v>1601</v>
      </c>
      <c r="F303" t="s">
        <v>1602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 t="s">
        <v>102</v>
      </c>
      <c r="R303" t="s">
        <v>102</v>
      </c>
      <c r="S303" t="s">
        <v>102</v>
      </c>
      <c r="T303" t="s">
        <v>102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 t="s">
        <v>102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</row>
    <row r="304" spans="1:43" x14ac:dyDescent="0.35">
      <c r="A304" t="s">
        <v>1603</v>
      </c>
      <c r="B304" t="s">
        <v>1604</v>
      </c>
      <c r="C304" t="s">
        <v>1605</v>
      </c>
      <c r="D304" t="s">
        <v>1606</v>
      </c>
      <c r="E304" t="s">
        <v>1607</v>
      </c>
      <c r="F304" t="s">
        <v>1608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 t="s">
        <v>102</v>
      </c>
      <c r="R304" t="s">
        <v>102</v>
      </c>
      <c r="S304" t="s">
        <v>102</v>
      </c>
      <c r="T304" t="s">
        <v>102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 t="s">
        <v>102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</row>
    <row r="305" spans="1:43" x14ac:dyDescent="0.35">
      <c r="A305" t="s">
        <v>1609</v>
      </c>
      <c r="B305" t="s">
        <v>1610</v>
      </c>
      <c r="C305" t="s">
        <v>1611</v>
      </c>
      <c r="D305" t="s">
        <v>1612</v>
      </c>
      <c r="E305" t="s">
        <v>1613</v>
      </c>
      <c r="F305" t="s">
        <v>1614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 t="s">
        <v>102</v>
      </c>
      <c r="R305" t="s">
        <v>102</v>
      </c>
      <c r="S305" t="s">
        <v>102</v>
      </c>
      <c r="T305" t="s">
        <v>102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 t="s">
        <v>102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</row>
    <row r="306" spans="1:43" x14ac:dyDescent="0.35">
      <c r="A306" t="s">
        <v>1615</v>
      </c>
      <c r="B306" t="s">
        <v>1616</v>
      </c>
      <c r="C306" t="s">
        <v>1617</v>
      </c>
      <c r="D306" t="s">
        <v>1618</v>
      </c>
      <c r="E306" t="s">
        <v>1619</v>
      </c>
      <c r="F306" t="s">
        <v>1620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 t="s">
        <v>102</v>
      </c>
      <c r="R306" t="s">
        <v>102</v>
      </c>
      <c r="S306" t="s">
        <v>102</v>
      </c>
      <c r="T306" t="s">
        <v>102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 t="s">
        <v>102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</row>
    <row r="307" spans="1:43" x14ac:dyDescent="0.35">
      <c r="A307" t="s">
        <v>1621</v>
      </c>
      <c r="B307" t="s">
        <v>1622</v>
      </c>
      <c r="C307" t="s">
        <v>1623</v>
      </c>
      <c r="D307" t="s">
        <v>1624</v>
      </c>
      <c r="E307" t="s">
        <v>1625</v>
      </c>
      <c r="F307" t="s">
        <v>1626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</row>
    <row r="308" spans="1:43" x14ac:dyDescent="0.35">
      <c r="A308" t="s">
        <v>1627</v>
      </c>
      <c r="B308" t="s">
        <v>1628</v>
      </c>
      <c r="C308" t="s">
        <v>1629</v>
      </c>
      <c r="D308" t="s">
        <v>1630</v>
      </c>
      <c r="E308" t="s">
        <v>1631</v>
      </c>
      <c r="F308" t="s">
        <v>1632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</row>
    <row r="309" spans="1:43" x14ac:dyDescent="0.35">
      <c r="A309" t="s">
        <v>1633</v>
      </c>
      <c r="B309" t="s">
        <v>1634</v>
      </c>
      <c r="C309" t="s">
        <v>1635</v>
      </c>
      <c r="D309" t="s">
        <v>1636</v>
      </c>
      <c r="E309" t="s">
        <v>1637</v>
      </c>
      <c r="F309" t="s">
        <v>1638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</row>
    <row r="310" spans="1:43" x14ac:dyDescent="0.35">
      <c r="A310" t="s">
        <v>1639</v>
      </c>
      <c r="B310" t="s">
        <v>1640</v>
      </c>
      <c r="C310" t="s">
        <v>1641</v>
      </c>
      <c r="D310" t="s">
        <v>1642</v>
      </c>
      <c r="E310" t="s">
        <v>1643</v>
      </c>
      <c r="F310" t="s">
        <v>1644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</row>
    <row r="311" spans="1:43" x14ac:dyDescent="0.35">
      <c r="A311" t="s">
        <v>1645</v>
      </c>
      <c r="B311" t="s">
        <v>1646</v>
      </c>
      <c r="C311" t="s">
        <v>1647</v>
      </c>
      <c r="D311" t="s">
        <v>1648</v>
      </c>
      <c r="E311" t="s">
        <v>1649</v>
      </c>
      <c r="F311" t="s">
        <v>1650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 t="s">
        <v>102</v>
      </c>
      <c r="R311" t="s">
        <v>102</v>
      </c>
      <c r="S311" t="s">
        <v>102</v>
      </c>
      <c r="T311" t="s">
        <v>102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 t="s">
        <v>102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</row>
    <row r="312" spans="1:43" x14ac:dyDescent="0.35">
      <c r="A312" t="s">
        <v>1651</v>
      </c>
      <c r="B312" t="s">
        <v>1652</v>
      </c>
      <c r="C312" t="s">
        <v>1653</v>
      </c>
      <c r="D312" t="s">
        <v>1654</v>
      </c>
      <c r="E312" t="s">
        <v>1655</v>
      </c>
      <c r="F312" t="s">
        <v>1656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 t="s">
        <v>102</v>
      </c>
      <c r="R312" t="s">
        <v>102</v>
      </c>
      <c r="S312" t="s">
        <v>102</v>
      </c>
      <c r="T312" t="s">
        <v>102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 t="s">
        <v>102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</row>
    <row r="313" spans="1:43" x14ac:dyDescent="0.35">
      <c r="A313" t="s">
        <v>1657</v>
      </c>
      <c r="B313" t="s">
        <v>1658</v>
      </c>
      <c r="C313" t="s">
        <v>1659</v>
      </c>
      <c r="D313" t="s">
        <v>1660</v>
      </c>
      <c r="E313" t="s">
        <v>1661</v>
      </c>
      <c r="F313" t="s">
        <v>1662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 t="s">
        <v>102</v>
      </c>
      <c r="R313" t="s">
        <v>102</v>
      </c>
      <c r="S313" t="s">
        <v>102</v>
      </c>
      <c r="T313" t="s">
        <v>102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 t="s">
        <v>102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</row>
    <row r="314" spans="1:43" x14ac:dyDescent="0.35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1668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 t="s">
        <v>102</v>
      </c>
      <c r="R314" t="s">
        <v>102</v>
      </c>
      <c r="S314" t="s">
        <v>102</v>
      </c>
      <c r="T314" t="s">
        <v>102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 t="s">
        <v>102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</row>
    <row r="315" spans="1:43" x14ac:dyDescent="0.35">
      <c r="A315" t="s">
        <v>1669</v>
      </c>
      <c r="B315" t="s">
        <v>1670</v>
      </c>
      <c r="C315" t="s">
        <v>1671</v>
      </c>
      <c r="D315" t="s">
        <v>1672</v>
      </c>
      <c r="E315" t="s">
        <v>1673</v>
      </c>
      <c r="F315" t="s">
        <v>1674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 t="s">
        <v>102</v>
      </c>
      <c r="R315" t="s">
        <v>102</v>
      </c>
      <c r="S315" t="s">
        <v>102</v>
      </c>
      <c r="T315" t="s">
        <v>102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 t="s">
        <v>102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</row>
    <row r="316" spans="1:43" x14ac:dyDescent="0.35">
      <c r="A316" t="s">
        <v>1675</v>
      </c>
      <c r="B316" t="s">
        <v>1676</v>
      </c>
      <c r="C316" t="s">
        <v>1677</v>
      </c>
      <c r="D316" t="s">
        <v>203</v>
      </c>
      <c r="E316" t="s">
        <v>1678</v>
      </c>
      <c r="F316" t="s">
        <v>1679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 t="s">
        <v>102</v>
      </c>
      <c r="R316" t="s">
        <v>102</v>
      </c>
      <c r="S316" t="s">
        <v>102</v>
      </c>
      <c r="T316" t="s">
        <v>102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 t="s">
        <v>102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</row>
    <row r="317" spans="1:43" x14ac:dyDescent="0.35">
      <c r="A317" t="s">
        <v>1680</v>
      </c>
      <c r="B317" t="s">
        <v>1418</v>
      </c>
      <c r="C317" t="s">
        <v>1419</v>
      </c>
      <c r="D317" t="s">
        <v>1420</v>
      </c>
      <c r="E317" t="s">
        <v>1421</v>
      </c>
      <c r="F317" t="s">
        <v>1422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 t="s">
        <v>102</v>
      </c>
      <c r="R317" t="s">
        <v>102</v>
      </c>
      <c r="S317" t="s">
        <v>102</v>
      </c>
      <c r="T317" t="s">
        <v>102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 t="s">
        <v>102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</row>
    <row r="318" spans="1:43" x14ac:dyDescent="0.35">
      <c r="A318" t="s">
        <v>1681</v>
      </c>
      <c r="B318" t="s">
        <v>1682</v>
      </c>
      <c r="C318" t="s">
        <v>1683</v>
      </c>
      <c r="D318" t="s">
        <v>1684</v>
      </c>
      <c r="E318" t="s">
        <v>1685</v>
      </c>
      <c r="F318" t="s">
        <v>1686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 t="s">
        <v>102</v>
      </c>
      <c r="R318" t="s">
        <v>102</v>
      </c>
      <c r="S318" t="s">
        <v>102</v>
      </c>
      <c r="T318" t="s">
        <v>102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 t="s">
        <v>102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</row>
    <row r="319" spans="1:43" x14ac:dyDescent="0.35">
      <c r="A319" t="s">
        <v>1687</v>
      </c>
      <c r="B319" t="s">
        <v>1688</v>
      </c>
      <c r="C319" t="s">
        <v>1689</v>
      </c>
      <c r="D319" t="s">
        <v>1690</v>
      </c>
      <c r="E319" t="s">
        <v>1691</v>
      </c>
      <c r="F319" t="s">
        <v>1692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 t="s">
        <v>102</v>
      </c>
      <c r="R319" t="s">
        <v>102</v>
      </c>
      <c r="S319" t="s">
        <v>102</v>
      </c>
      <c r="T319" t="s">
        <v>102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 t="s">
        <v>102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</row>
    <row r="320" spans="1:43" x14ac:dyDescent="0.35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1698</v>
      </c>
      <c r="G320" t="s">
        <v>102</v>
      </c>
      <c r="H320" t="s">
        <v>102</v>
      </c>
      <c r="I320" t="s">
        <v>102</v>
      </c>
      <c r="J320" t="s">
        <v>102</v>
      </c>
      <c r="K320" t="s">
        <v>102</v>
      </c>
      <c r="L320" t="s">
        <v>102</v>
      </c>
      <c r="M320" t="s">
        <v>102</v>
      </c>
      <c r="N320" t="s">
        <v>102</v>
      </c>
      <c r="O320" t="s">
        <v>102</v>
      </c>
      <c r="P320" t="s">
        <v>102</v>
      </c>
      <c r="Q320" t="s">
        <v>102</v>
      </c>
      <c r="R320" t="s">
        <v>102</v>
      </c>
      <c r="S320" t="s">
        <v>102</v>
      </c>
      <c r="T320" t="s">
        <v>102</v>
      </c>
      <c r="U320" t="s">
        <v>102</v>
      </c>
      <c r="V320" t="s">
        <v>102</v>
      </c>
      <c r="W320" t="s">
        <v>102</v>
      </c>
      <c r="X320" t="s">
        <v>102</v>
      </c>
      <c r="Y320" t="s">
        <v>102</v>
      </c>
      <c r="Z320" t="s">
        <v>102</v>
      </c>
      <c r="AA320" t="s">
        <v>102</v>
      </c>
      <c r="AB320" t="s">
        <v>102</v>
      </c>
      <c r="AC320" t="s">
        <v>102</v>
      </c>
      <c r="AD320" t="s">
        <v>102</v>
      </c>
      <c r="AE320" t="s">
        <v>102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</row>
    <row r="321" spans="1:43" x14ac:dyDescent="0.35">
      <c r="A321" t="s">
        <v>1699</v>
      </c>
      <c r="B321" t="s">
        <v>1700</v>
      </c>
      <c r="C321" t="s">
        <v>1701</v>
      </c>
      <c r="D321" t="s">
        <v>1702</v>
      </c>
      <c r="E321" t="s">
        <v>1703</v>
      </c>
      <c r="F321" t="s">
        <v>1704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  <c r="T321" t="s">
        <v>102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 t="s">
        <v>102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</row>
    <row r="322" spans="1:43" x14ac:dyDescent="0.35">
      <c r="A322" t="s">
        <v>1705</v>
      </c>
      <c r="B322" t="s">
        <v>1706</v>
      </c>
      <c r="C322" t="s">
        <v>1707</v>
      </c>
      <c r="D322" t="s">
        <v>1708</v>
      </c>
      <c r="E322" t="s">
        <v>1709</v>
      </c>
      <c r="F322" t="s">
        <v>1710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 t="s">
        <v>102</v>
      </c>
      <c r="R322" t="s">
        <v>102</v>
      </c>
      <c r="S322" t="s">
        <v>102</v>
      </c>
      <c r="T322" t="s">
        <v>102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 t="s">
        <v>102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</row>
    <row r="323" spans="1:43" x14ac:dyDescent="0.35">
      <c r="A323">
        <v>164200</v>
      </c>
      <c r="B323" t="s">
        <v>1711</v>
      </c>
      <c r="C323" t="s">
        <v>1712</v>
      </c>
      <c r="D323" t="s">
        <v>1713</v>
      </c>
      <c r="E323" t="s">
        <v>1714</v>
      </c>
      <c r="F323" t="s">
        <v>1715</v>
      </c>
      <c r="G323" t="s">
        <v>102</v>
      </c>
      <c r="H323" t="s">
        <v>102</v>
      </c>
      <c r="I323" t="s">
        <v>102</v>
      </c>
      <c r="J323" t="s">
        <v>102</v>
      </c>
      <c r="K323" t="s">
        <v>102</v>
      </c>
      <c r="L323" t="s">
        <v>102</v>
      </c>
      <c r="M323" t="s">
        <v>102</v>
      </c>
      <c r="N323" t="s">
        <v>102</v>
      </c>
      <c r="O323" t="s">
        <v>102</v>
      </c>
      <c r="P323" t="s">
        <v>102</v>
      </c>
      <c r="Q323" t="s">
        <v>102</v>
      </c>
      <c r="R323" t="s">
        <v>102</v>
      </c>
      <c r="S323" t="s">
        <v>102</v>
      </c>
      <c r="T323" t="s">
        <v>102</v>
      </c>
      <c r="U323" t="s">
        <v>102</v>
      </c>
      <c r="V323" t="s">
        <v>102</v>
      </c>
      <c r="W323" t="s">
        <v>102</v>
      </c>
      <c r="X323" t="s">
        <v>102</v>
      </c>
      <c r="Y323" t="s">
        <v>102</v>
      </c>
      <c r="Z323" t="s">
        <v>102</v>
      </c>
      <c r="AA323" t="s">
        <v>102</v>
      </c>
      <c r="AB323" t="s">
        <v>102</v>
      </c>
      <c r="AC323" t="s">
        <v>102</v>
      </c>
      <c r="AD323" t="s">
        <v>102</v>
      </c>
      <c r="AE323" t="s">
        <v>102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</row>
    <row r="324" spans="1:43" x14ac:dyDescent="0.35">
      <c r="A324">
        <v>164190</v>
      </c>
      <c r="B324" t="s">
        <v>1716</v>
      </c>
      <c r="C324" t="s">
        <v>1717</v>
      </c>
      <c r="D324" t="s">
        <v>1718</v>
      </c>
      <c r="E324" t="s">
        <v>1719</v>
      </c>
      <c r="F324" t="s">
        <v>1720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</row>
    <row r="325" spans="1:43" x14ac:dyDescent="0.35">
      <c r="A325">
        <v>164100</v>
      </c>
      <c r="B325" t="s">
        <v>1721</v>
      </c>
      <c r="C325" t="s">
        <v>1722</v>
      </c>
      <c r="D325" t="s">
        <v>1723</v>
      </c>
      <c r="E325" t="s">
        <v>1724</v>
      </c>
      <c r="F325" t="s">
        <v>1725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</row>
    <row r="326" spans="1:43" x14ac:dyDescent="0.35">
      <c r="A326">
        <v>163190</v>
      </c>
      <c r="B326" t="s">
        <v>1726</v>
      </c>
      <c r="C326" t="s">
        <v>1727</v>
      </c>
      <c r="D326" t="s">
        <v>1728</v>
      </c>
      <c r="E326" t="s">
        <v>1729</v>
      </c>
      <c r="F326" t="s">
        <v>1730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</row>
    <row r="327" spans="1:43" x14ac:dyDescent="0.35">
      <c r="A327">
        <v>163100</v>
      </c>
      <c r="B327" t="s">
        <v>5</v>
      </c>
      <c r="C327" t="s">
        <v>932</v>
      </c>
      <c r="D327" t="s">
        <v>933</v>
      </c>
      <c r="E327" t="s">
        <v>934</v>
      </c>
      <c r="F327" t="s">
        <v>935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</row>
    <row r="328" spans="1:43" x14ac:dyDescent="0.35">
      <c r="A328">
        <v>162190</v>
      </c>
      <c r="B328" t="s">
        <v>1731</v>
      </c>
      <c r="C328" t="s">
        <v>1732</v>
      </c>
      <c r="D328" t="s">
        <v>1733</v>
      </c>
      <c r="E328" t="s">
        <v>1734</v>
      </c>
      <c r="F328" t="s">
        <v>1735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 t="s">
        <v>102</v>
      </c>
      <c r="R328" t="s">
        <v>102</v>
      </c>
      <c r="S328" t="s">
        <v>102</v>
      </c>
      <c r="T328" t="s">
        <v>102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 t="s">
        <v>102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</row>
    <row r="329" spans="1:43" x14ac:dyDescent="0.35">
      <c r="A329">
        <v>162100</v>
      </c>
      <c r="B329" t="s">
        <v>936</v>
      </c>
      <c r="C329" t="s">
        <v>937</v>
      </c>
      <c r="D329" t="s">
        <v>938</v>
      </c>
      <c r="E329" t="s">
        <v>939</v>
      </c>
      <c r="F329" t="s">
        <v>940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 t="s">
        <v>102</v>
      </c>
      <c r="R329" t="s">
        <v>102</v>
      </c>
      <c r="S329" t="s">
        <v>102</v>
      </c>
      <c r="T329" t="s">
        <v>102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 t="s">
        <v>102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</row>
    <row r="330" spans="1:43" x14ac:dyDescent="0.35">
      <c r="A330">
        <v>161690</v>
      </c>
      <c r="B330" t="s">
        <v>1736</v>
      </c>
      <c r="C330" t="s">
        <v>1737</v>
      </c>
      <c r="D330" t="s">
        <v>1738</v>
      </c>
      <c r="E330" t="s">
        <v>1739</v>
      </c>
      <c r="F330" t="s">
        <v>1740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 t="s">
        <v>102</v>
      </c>
      <c r="R330" t="s">
        <v>102</v>
      </c>
      <c r="S330" t="s">
        <v>102</v>
      </c>
      <c r="T330" t="s">
        <v>102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 t="s">
        <v>102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</row>
    <row r="331" spans="1:43" x14ac:dyDescent="0.35">
      <c r="A331">
        <v>161600</v>
      </c>
      <c r="B331" t="s">
        <v>1741</v>
      </c>
      <c r="C331" t="s">
        <v>1742</v>
      </c>
      <c r="D331" t="s">
        <v>1743</v>
      </c>
      <c r="E331" t="s">
        <v>1744</v>
      </c>
      <c r="F331" t="s">
        <v>1745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 t="s">
        <v>102</v>
      </c>
      <c r="R331" t="s">
        <v>102</v>
      </c>
      <c r="S331" t="s">
        <v>102</v>
      </c>
      <c r="T331" t="s">
        <v>102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 t="s">
        <v>102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</row>
    <row r="332" spans="1:43" x14ac:dyDescent="0.35">
      <c r="A332">
        <v>161590</v>
      </c>
      <c r="B332" t="s">
        <v>1746</v>
      </c>
      <c r="C332" t="s">
        <v>1747</v>
      </c>
      <c r="D332" t="s">
        <v>1748</v>
      </c>
      <c r="E332" t="s">
        <v>1749</v>
      </c>
      <c r="F332" t="s">
        <v>1750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 t="s">
        <v>102</v>
      </c>
      <c r="R332" t="s">
        <v>102</v>
      </c>
      <c r="S332" t="s">
        <v>102</v>
      </c>
      <c r="T332" t="s">
        <v>102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 t="s">
        <v>102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</row>
    <row r="333" spans="1:43" x14ac:dyDescent="0.35">
      <c r="A333">
        <v>161500</v>
      </c>
      <c r="B333" t="s">
        <v>4</v>
      </c>
      <c r="C333" t="s">
        <v>1751</v>
      </c>
      <c r="D333" t="s">
        <v>1752</v>
      </c>
      <c r="E333" t="s">
        <v>1753</v>
      </c>
      <c r="F333" t="s">
        <v>1754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 t="s">
        <v>102</v>
      </c>
      <c r="R333" t="s">
        <v>102</v>
      </c>
      <c r="S333" t="s">
        <v>102</v>
      </c>
      <c r="T333" t="s">
        <v>102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 t="s">
        <v>102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</row>
    <row r="334" spans="1:43" x14ac:dyDescent="0.35">
      <c r="A334" t="s">
        <v>1755</v>
      </c>
      <c r="B334" t="s">
        <v>1756</v>
      </c>
      <c r="C334" t="s">
        <v>1757</v>
      </c>
      <c r="D334" t="s">
        <v>1758</v>
      </c>
      <c r="E334" t="s">
        <v>1759</v>
      </c>
      <c r="F334" t="s">
        <v>1760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 t="s">
        <v>102</v>
      </c>
      <c r="R334" t="s">
        <v>102</v>
      </c>
      <c r="S334" t="s">
        <v>102</v>
      </c>
      <c r="T334" t="s">
        <v>102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 t="s">
        <v>102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</row>
    <row r="335" spans="1:43" x14ac:dyDescent="0.35">
      <c r="A335">
        <v>161490</v>
      </c>
      <c r="B335" t="s">
        <v>1761</v>
      </c>
      <c r="C335" t="s">
        <v>1762</v>
      </c>
      <c r="D335" t="s">
        <v>1763</v>
      </c>
      <c r="E335" t="s">
        <v>1764</v>
      </c>
      <c r="F335" t="s">
        <v>1765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 t="s">
        <v>102</v>
      </c>
      <c r="R335" t="s">
        <v>102</v>
      </c>
      <c r="S335" t="s">
        <v>102</v>
      </c>
      <c r="T335" t="s">
        <v>102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 t="s">
        <v>102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</row>
    <row r="336" spans="1:43" x14ac:dyDescent="0.35">
      <c r="A336">
        <v>161400</v>
      </c>
      <c r="B336" t="s">
        <v>3</v>
      </c>
      <c r="C336" t="s">
        <v>1766</v>
      </c>
      <c r="D336" t="s">
        <v>1767</v>
      </c>
      <c r="E336" t="s">
        <v>1768</v>
      </c>
      <c r="F336" t="s">
        <v>1769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 t="s">
        <v>102</v>
      </c>
      <c r="R336" t="s">
        <v>102</v>
      </c>
      <c r="S336" t="s">
        <v>102</v>
      </c>
      <c r="T336" t="s">
        <v>102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 t="s">
        <v>102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</row>
    <row r="337" spans="1:43" x14ac:dyDescent="0.35">
      <c r="A337" t="s">
        <v>1770</v>
      </c>
      <c r="B337" t="s">
        <v>1771</v>
      </c>
      <c r="C337" t="s">
        <v>1772</v>
      </c>
      <c r="D337" t="s">
        <v>1773</v>
      </c>
      <c r="E337" t="s">
        <v>1774</v>
      </c>
      <c r="F337" t="s">
        <v>1775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 t="s">
        <v>102</v>
      </c>
      <c r="R337" t="s">
        <v>102</v>
      </c>
      <c r="S337" t="s">
        <v>102</v>
      </c>
      <c r="T337" t="s">
        <v>102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 t="s">
        <v>102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</row>
    <row r="338" spans="1:43" x14ac:dyDescent="0.35">
      <c r="A338">
        <v>161390</v>
      </c>
      <c r="B338" t="s">
        <v>1776</v>
      </c>
      <c r="C338" t="s">
        <v>1777</v>
      </c>
      <c r="D338" t="s">
        <v>1778</v>
      </c>
      <c r="E338" t="s">
        <v>1779</v>
      </c>
      <c r="F338" t="s">
        <v>1780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 t="s">
        <v>102</v>
      </c>
      <c r="R338" t="s">
        <v>102</v>
      </c>
      <c r="S338" t="s">
        <v>102</v>
      </c>
      <c r="T338" t="s">
        <v>102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 t="s">
        <v>102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</row>
    <row r="339" spans="1:43" x14ac:dyDescent="0.35">
      <c r="A339">
        <v>161300</v>
      </c>
      <c r="B339" t="s">
        <v>1781</v>
      </c>
      <c r="C339" t="s">
        <v>1782</v>
      </c>
      <c r="D339" t="s">
        <v>1783</v>
      </c>
      <c r="E339" t="s">
        <v>1784</v>
      </c>
      <c r="F339" t="s">
        <v>1785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 t="s">
        <v>102</v>
      </c>
      <c r="R339" t="s">
        <v>102</v>
      </c>
      <c r="S339" t="s">
        <v>102</v>
      </c>
      <c r="T339" t="s">
        <v>102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 t="s">
        <v>102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</row>
    <row r="340" spans="1:43" x14ac:dyDescent="0.35">
      <c r="A340" t="s">
        <v>1786</v>
      </c>
      <c r="B340" t="s">
        <v>1787</v>
      </c>
      <c r="C340" t="s">
        <v>1788</v>
      </c>
      <c r="D340" t="s">
        <v>1789</v>
      </c>
      <c r="E340" t="s">
        <v>1790</v>
      </c>
      <c r="F340" t="s">
        <v>1791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 t="s">
        <v>102</v>
      </c>
      <c r="R340" t="s">
        <v>102</v>
      </c>
      <c r="S340" t="s">
        <v>102</v>
      </c>
      <c r="T340" t="s">
        <v>102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 t="s">
        <v>102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</row>
    <row r="341" spans="1:43" x14ac:dyDescent="0.35">
      <c r="A341">
        <v>161290</v>
      </c>
      <c r="B341" t="s">
        <v>1792</v>
      </c>
      <c r="C341" t="s">
        <v>1793</v>
      </c>
      <c r="D341" t="s">
        <v>1794</v>
      </c>
      <c r="E341" t="s">
        <v>1795</v>
      </c>
      <c r="F341" t="s">
        <v>1796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</row>
    <row r="342" spans="1:43" x14ac:dyDescent="0.35">
      <c r="A342">
        <v>161200</v>
      </c>
      <c r="B342" t="s">
        <v>1797</v>
      </c>
      <c r="C342" t="s">
        <v>1798</v>
      </c>
      <c r="D342" t="s">
        <v>1799</v>
      </c>
      <c r="E342" t="s">
        <v>1800</v>
      </c>
      <c r="F342" t="s">
        <v>1801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</row>
    <row r="343" spans="1:43" x14ac:dyDescent="0.35">
      <c r="A343">
        <v>161190</v>
      </c>
      <c r="B343" t="s">
        <v>1802</v>
      </c>
      <c r="C343" t="s">
        <v>1803</v>
      </c>
      <c r="D343" t="s">
        <v>1804</v>
      </c>
      <c r="E343" t="s">
        <v>1805</v>
      </c>
      <c r="F343" t="s">
        <v>1806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</row>
    <row r="344" spans="1:43" x14ac:dyDescent="0.35">
      <c r="A344">
        <v>161100</v>
      </c>
      <c r="B344" t="s">
        <v>1807</v>
      </c>
      <c r="C344" t="s">
        <v>1808</v>
      </c>
      <c r="D344" t="s">
        <v>1809</v>
      </c>
      <c r="E344" t="s">
        <v>1810</v>
      </c>
      <c r="F344" t="s">
        <v>1811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</row>
    <row r="345" spans="1:43" x14ac:dyDescent="0.35">
      <c r="A345">
        <v>151200</v>
      </c>
      <c r="B345" t="s">
        <v>1812</v>
      </c>
      <c r="C345" t="s">
        <v>1813</v>
      </c>
      <c r="D345" t="s">
        <v>1814</v>
      </c>
      <c r="E345" t="s">
        <v>1815</v>
      </c>
      <c r="F345" t="s">
        <v>1816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 t="s">
        <v>102</v>
      </c>
      <c r="R345" t="s">
        <v>102</v>
      </c>
      <c r="S345" t="s">
        <v>102</v>
      </c>
      <c r="T345" t="s">
        <v>102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 t="s">
        <v>102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</row>
    <row r="346" spans="1:43" x14ac:dyDescent="0.35">
      <c r="A346">
        <v>151100</v>
      </c>
      <c r="B346" t="s">
        <v>1817</v>
      </c>
      <c r="C346" t="s">
        <v>1818</v>
      </c>
      <c r="D346" t="s">
        <v>1819</v>
      </c>
      <c r="E346" t="s">
        <v>1820</v>
      </c>
      <c r="F346" t="s">
        <v>1821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 t="s">
        <v>102</v>
      </c>
      <c r="R346" t="s">
        <v>102</v>
      </c>
      <c r="S346" t="s">
        <v>102</v>
      </c>
      <c r="T346" t="s">
        <v>102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 t="s">
        <v>102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</row>
    <row r="347" spans="1:43" x14ac:dyDescent="0.35">
      <c r="A347">
        <v>141500</v>
      </c>
      <c r="B347" t="s">
        <v>1822</v>
      </c>
      <c r="C347" t="s">
        <v>1823</v>
      </c>
      <c r="D347" t="s">
        <v>1824</v>
      </c>
      <c r="E347" t="s">
        <v>1825</v>
      </c>
      <c r="F347" t="s">
        <v>1826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 t="s">
        <v>102</v>
      </c>
      <c r="R347" t="s">
        <v>102</v>
      </c>
      <c r="S347" t="s">
        <v>102</v>
      </c>
      <c r="T347" t="s">
        <v>102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 t="s">
        <v>102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</row>
    <row r="348" spans="1:43" x14ac:dyDescent="0.35">
      <c r="A348">
        <v>141490</v>
      </c>
      <c r="B348" t="s">
        <v>1827</v>
      </c>
      <c r="C348" t="s">
        <v>1828</v>
      </c>
      <c r="D348" t="s">
        <v>1829</v>
      </c>
      <c r="E348" t="s">
        <v>1830</v>
      </c>
      <c r="F348" t="s">
        <v>1831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 t="s">
        <v>102</v>
      </c>
      <c r="R348" t="s">
        <v>102</v>
      </c>
      <c r="S348" t="s">
        <v>102</v>
      </c>
      <c r="T348" t="s">
        <v>102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 t="s">
        <v>102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</row>
    <row r="349" spans="1:43" x14ac:dyDescent="0.35">
      <c r="A349">
        <v>141400</v>
      </c>
      <c r="B349" t="s">
        <v>1832</v>
      </c>
      <c r="C349" t="s">
        <v>1833</v>
      </c>
      <c r="D349" t="s">
        <v>1834</v>
      </c>
      <c r="E349" t="s">
        <v>1835</v>
      </c>
      <c r="F349" t="s">
        <v>1836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 t="s">
        <v>102</v>
      </c>
      <c r="R349" t="s">
        <v>102</v>
      </c>
      <c r="S349" t="s">
        <v>102</v>
      </c>
      <c r="T349" t="s">
        <v>102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 t="s">
        <v>102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</row>
    <row r="350" spans="1:43" x14ac:dyDescent="0.35">
      <c r="A350">
        <v>141300</v>
      </c>
      <c r="B350" t="s">
        <v>1837</v>
      </c>
      <c r="C350" t="s">
        <v>1838</v>
      </c>
      <c r="D350" t="s">
        <v>1839</v>
      </c>
      <c r="E350" t="s">
        <v>1840</v>
      </c>
      <c r="F350" t="s">
        <v>1841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 t="s">
        <v>102</v>
      </c>
      <c r="R350" t="s">
        <v>102</v>
      </c>
      <c r="S350" t="s">
        <v>102</v>
      </c>
      <c r="T350" t="s">
        <v>102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 t="s">
        <v>102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</row>
    <row r="351" spans="1:43" x14ac:dyDescent="0.35">
      <c r="A351">
        <v>183100</v>
      </c>
      <c r="B351" t="s">
        <v>1842</v>
      </c>
      <c r="C351" t="s">
        <v>1843</v>
      </c>
      <c r="D351" t="s">
        <v>904</v>
      </c>
      <c r="E351" t="s">
        <v>1844</v>
      </c>
      <c r="F351" t="s">
        <v>906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 t="s">
        <v>102</v>
      </c>
      <c r="R351" t="s">
        <v>102</v>
      </c>
      <c r="S351" t="s">
        <v>102</v>
      </c>
      <c r="T351" t="s">
        <v>102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 t="s">
        <v>102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</row>
    <row r="352" spans="1:43" x14ac:dyDescent="0.35">
      <c r="A352">
        <v>182100</v>
      </c>
      <c r="B352" t="s">
        <v>907</v>
      </c>
      <c r="C352" t="s">
        <v>908</v>
      </c>
      <c r="D352" t="s">
        <v>909</v>
      </c>
      <c r="E352" t="s">
        <v>910</v>
      </c>
      <c r="F352" t="s">
        <v>911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 t="s">
        <v>102</v>
      </c>
      <c r="R352" t="s">
        <v>102</v>
      </c>
      <c r="S352" t="s">
        <v>102</v>
      </c>
      <c r="T352" t="s">
        <v>102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 t="s">
        <v>102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</row>
    <row r="353" spans="1:43" x14ac:dyDescent="0.35">
      <c r="A353">
        <v>181890</v>
      </c>
      <c r="B353" t="s">
        <v>1845</v>
      </c>
      <c r="C353" t="s">
        <v>1846</v>
      </c>
      <c r="D353" t="s">
        <v>1847</v>
      </c>
      <c r="E353" t="s">
        <v>1848</v>
      </c>
      <c r="F353" t="s">
        <v>1849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 t="s">
        <v>102</v>
      </c>
      <c r="R353" t="s">
        <v>102</v>
      </c>
      <c r="S353" t="s">
        <v>102</v>
      </c>
      <c r="T353" t="s">
        <v>102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 t="s">
        <v>102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</row>
    <row r="354" spans="1:43" x14ac:dyDescent="0.35">
      <c r="A354">
        <v>181800</v>
      </c>
      <c r="B354" t="s">
        <v>1850</v>
      </c>
      <c r="C354" t="s">
        <v>1851</v>
      </c>
      <c r="D354" t="s">
        <v>1852</v>
      </c>
      <c r="E354" t="s">
        <v>1853</v>
      </c>
      <c r="F354" t="s">
        <v>1854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 t="s">
        <v>102</v>
      </c>
      <c r="R354" t="s">
        <v>102</v>
      </c>
      <c r="S354" t="s">
        <v>102</v>
      </c>
      <c r="T354" t="s">
        <v>102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 t="s">
        <v>102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</row>
    <row r="355" spans="1:43" x14ac:dyDescent="0.35">
      <c r="A355">
        <v>181600</v>
      </c>
      <c r="B355" t="s">
        <v>1855</v>
      </c>
      <c r="C355" t="s">
        <v>1856</v>
      </c>
      <c r="D355" t="s">
        <v>1857</v>
      </c>
      <c r="E355" t="s">
        <v>1858</v>
      </c>
      <c r="F355" t="s">
        <v>1859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 t="s">
        <v>102</v>
      </c>
      <c r="R355" t="s">
        <v>102</v>
      </c>
      <c r="S355" t="s">
        <v>102</v>
      </c>
      <c r="T355" t="s">
        <v>102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 t="s">
        <v>102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</row>
    <row r="356" spans="1:43" x14ac:dyDescent="0.35">
      <c r="A356">
        <v>181500</v>
      </c>
      <c r="B356" t="s">
        <v>1860</v>
      </c>
      <c r="C356" t="s">
        <v>1861</v>
      </c>
      <c r="D356" t="s">
        <v>1862</v>
      </c>
      <c r="E356" t="s">
        <v>1863</v>
      </c>
      <c r="F356" t="s">
        <v>1864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 t="s">
        <v>102</v>
      </c>
      <c r="R356" t="s">
        <v>102</v>
      </c>
      <c r="S356" t="s">
        <v>102</v>
      </c>
      <c r="T356" t="s">
        <v>102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 t="s">
        <v>102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</row>
    <row r="357" spans="1:43" x14ac:dyDescent="0.35">
      <c r="A357">
        <v>181400</v>
      </c>
      <c r="B357" t="s">
        <v>1865</v>
      </c>
      <c r="C357" t="s">
        <v>1866</v>
      </c>
      <c r="D357" t="s">
        <v>1867</v>
      </c>
      <c r="E357" t="s">
        <v>1868</v>
      </c>
      <c r="F357" t="s">
        <v>1869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 t="s">
        <v>102</v>
      </c>
      <c r="R357" t="s">
        <v>102</v>
      </c>
      <c r="S357" t="s">
        <v>102</v>
      </c>
      <c r="T357" t="s">
        <v>102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 t="s">
        <v>102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</row>
    <row r="358" spans="1:43" x14ac:dyDescent="0.35">
      <c r="A358">
        <v>181300</v>
      </c>
      <c r="B358" t="s">
        <v>1870</v>
      </c>
      <c r="C358" t="s">
        <v>1871</v>
      </c>
      <c r="D358" t="s">
        <v>1872</v>
      </c>
      <c r="E358" t="s">
        <v>1873</v>
      </c>
      <c r="F358" t="s">
        <v>1874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</row>
    <row r="359" spans="1:43" x14ac:dyDescent="0.35">
      <c r="A359" t="s">
        <v>12</v>
      </c>
      <c r="B359" t="s">
        <v>1875</v>
      </c>
      <c r="C359" t="s">
        <v>1876</v>
      </c>
      <c r="D359" t="s">
        <v>1877</v>
      </c>
      <c r="E359" t="s">
        <v>1878</v>
      </c>
      <c r="F359" t="s">
        <v>1879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</row>
    <row r="360" spans="1:43" x14ac:dyDescent="0.35">
      <c r="A360">
        <v>181200</v>
      </c>
      <c r="B360" t="s">
        <v>1880</v>
      </c>
      <c r="C360" t="s">
        <v>1881</v>
      </c>
      <c r="D360" t="s">
        <v>1882</v>
      </c>
      <c r="E360" t="s">
        <v>1883</v>
      </c>
      <c r="F360" t="s">
        <v>1884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</row>
    <row r="361" spans="1:43" x14ac:dyDescent="0.35">
      <c r="A361">
        <v>181190</v>
      </c>
      <c r="B361" t="s">
        <v>1885</v>
      </c>
      <c r="C361" t="s">
        <v>1886</v>
      </c>
      <c r="D361" t="s">
        <v>1887</v>
      </c>
      <c r="E361" t="s">
        <v>1888</v>
      </c>
      <c r="F361" t="s">
        <v>1889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</row>
    <row r="362" spans="1:43" x14ac:dyDescent="0.35">
      <c r="A362">
        <v>181100</v>
      </c>
      <c r="B362" t="s">
        <v>1890</v>
      </c>
      <c r="C362" t="s">
        <v>1891</v>
      </c>
      <c r="D362" t="s">
        <v>1892</v>
      </c>
      <c r="E362" t="s">
        <v>1893</v>
      </c>
      <c r="F362" t="s">
        <v>1894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 t="s">
        <v>102</v>
      </c>
      <c r="R362" t="s">
        <v>102</v>
      </c>
      <c r="S362" t="s">
        <v>102</v>
      </c>
      <c r="T362" t="s">
        <v>102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 t="s">
        <v>102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</row>
    <row r="363" spans="1:43" x14ac:dyDescent="0.35">
      <c r="A363">
        <v>172500</v>
      </c>
      <c r="B363" t="s">
        <v>1895</v>
      </c>
      <c r="C363" t="s">
        <v>1896</v>
      </c>
      <c r="D363" t="s">
        <v>1897</v>
      </c>
      <c r="E363" t="s">
        <v>1898</v>
      </c>
      <c r="F363" t="s">
        <v>1899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 t="s">
        <v>102</v>
      </c>
      <c r="R363" t="s">
        <v>102</v>
      </c>
      <c r="S363" t="s">
        <v>102</v>
      </c>
      <c r="T363" t="s">
        <v>102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 t="s">
        <v>102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</row>
    <row r="364" spans="1:43" x14ac:dyDescent="0.35">
      <c r="A364">
        <v>172400</v>
      </c>
      <c r="B364" t="s">
        <v>1900</v>
      </c>
      <c r="C364" t="s">
        <v>1901</v>
      </c>
      <c r="D364" t="s">
        <v>1902</v>
      </c>
      <c r="E364" t="s">
        <v>1903</v>
      </c>
      <c r="F364" t="s">
        <v>1904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 t="s">
        <v>102</v>
      </c>
      <c r="R364" t="s">
        <v>102</v>
      </c>
      <c r="S364" t="s">
        <v>102</v>
      </c>
      <c r="T364" t="s">
        <v>102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 t="s">
        <v>102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</row>
    <row r="365" spans="1:43" x14ac:dyDescent="0.35">
      <c r="A365">
        <v>172300</v>
      </c>
      <c r="B365" t="s">
        <v>518</v>
      </c>
      <c r="C365" t="s">
        <v>519</v>
      </c>
      <c r="D365" t="s">
        <v>520</v>
      </c>
      <c r="E365" t="s">
        <v>521</v>
      </c>
      <c r="F365" t="s">
        <v>522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 t="s">
        <v>102</v>
      </c>
      <c r="R365" t="s">
        <v>102</v>
      </c>
      <c r="S365" t="s">
        <v>102</v>
      </c>
      <c r="T365" t="s">
        <v>102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 t="s">
        <v>102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</row>
    <row r="366" spans="1:43" x14ac:dyDescent="0.35">
      <c r="A366">
        <v>172200</v>
      </c>
      <c r="B366" t="s">
        <v>1905</v>
      </c>
      <c r="C366" t="s">
        <v>1906</v>
      </c>
      <c r="D366" t="s">
        <v>1907</v>
      </c>
      <c r="E366" t="s">
        <v>1908</v>
      </c>
      <c r="F366" t="s">
        <v>1909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 t="s">
        <v>102</v>
      </c>
      <c r="R366" t="s">
        <v>102</v>
      </c>
      <c r="S366" t="s">
        <v>102</v>
      </c>
      <c r="T366" t="s">
        <v>102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 t="s">
        <v>102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</row>
    <row r="367" spans="1:43" x14ac:dyDescent="0.35">
      <c r="A367">
        <v>172190</v>
      </c>
      <c r="B367" t="s">
        <v>1910</v>
      </c>
      <c r="C367" t="s">
        <v>1911</v>
      </c>
      <c r="D367" t="s">
        <v>1912</v>
      </c>
      <c r="E367" t="s">
        <v>1913</v>
      </c>
      <c r="F367" t="s">
        <v>1914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 t="s">
        <v>102</v>
      </c>
      <c r="R367" t="s">
        <v>102</v>
      </c>
      <c r="S367" t="s">
        <v>102</v>
      </c>
      <c r="T367" t="s">
        <v>102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 t="s">
        <v>102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</row>
    <row r="368" spans="1:43" x14ac:dyDescent="0.35">
      <c r="A368">
        <v>172100</v>
      </c>
      <c r="B368" t="s">
        <v>1915</v>
      </c>
      <c r="C368" t="s">
        <v>1916</v>
      </c>
      <c r="D368" t="s">
        <v>1917</v>
      </c>
      <c r="E368" t="s">
        <v>1918</v>
      </c>
      <c r="F368" t="s">
        <v>1919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 t="s">
        <v>102</v>
      </c>
      <c r="R368" t="s">
        <v>102</v>
      </c>
      <c r="S368" t="s">
        <v>102</v>
      </c>
      <c r="T368" t="s">
        <v>102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 t="s">
        <v>102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</row>
    <row r="369" spans="1:43" x14ac:dyDescent="0.35">
      <c r="A369">
        <v>171000</v>
      </c>
      <c r="B369" t="s">
        <v>922</v>
      </c>
      <c r="C369" t="s">
        <v>923</v>
      </c>
      <c r="D369" t="s">
        <v>924</v>
      </c>
      <c r="E369" t="s">
        <v>925</v>
      </c>
      <c r="F369" t="s">
        <v>926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 t="s">
        <v>102</v>
      </c>
      <c r="R369" t="s">
        <v>102</v>
      </c>
      <c r="S369" t="s">
        <v>102</v>
      </c>
      <c r="T369" t="s">
        <v>102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 t="s">
        <v>102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</row>
    <row r="370" spans="1:43" x14ac:dyDescent="0.35">
      <c r="A370">
        <v>164590</v>
      </c>
      <c r="B370" t="s">
        <v>1920</v>
      </c>
      <c r="C370" t="s">
        <v>1921</v>
      </c>
      <c r="D370" t="s">
        <v>1922</v>
      </c>
      <c r="E370" t="s">
        <v>1923</v>
      </c>
      <c r="F370" t="s">
        <v>1924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 t="s">
        <v>102</v>
      </c>
      <c r="R370" t="s">
        <v>102</v>
      </c>
      <c r="S370" t="s">
        <v>102</v>
      </c>
      <c r="T370" t="s">
        <v>102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 t="s">
        <v>102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</row>
    <row r="371" spans="1:43" x14ac:dyDescent="0.35">
      <c r="A371">
        <v>164500</v>
      </c>
      <c r="B371" t="s">
        <v>1925</v>
      </c>
      <c r="C371" t="s">
        <v>1926</v>
      </c>
      <c r="D371" t="s">
        <v>1927</v>
      </c>
      <c r="E371" t="s">
        <v>1928</v>
      </c>
      <c r="F371" t="s">
        <v>1929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 t="s">
        <v>102</v>
      </c>
      <c r="R371" t="s">
        <v>102</v>
      </c>
      <c r="S371" t="s">
        <v>102</v>
      </c>
      <c r="T371" t="s">
        <v>102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 t="s">
        <v>102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</row>
    <row r="372" spans="1:43" x14ac:dyDescent="0.35">
      <c r="A372">
        <v>164490</v>
      </c>
      <c r="B372" t="s">
        <v>1930</v>
      </c>
      <c r="C372" t="s">
        <v>1931</v>
      </c>
      <c r="D372" t="s">
        <v>1932</v>
      </c>
      <c r="E372" t="s">
        <v>1933</v>
      </c>
      <c r="F372" t="s">
        <v>1934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 t="s">
        <v>102</v>
      </c>
      <c r="R372" t="s">
        <v>102</v>
      </c>
      <c r="S372" t="s">
        <v>102</v>
      </c>
      <c r="T372" t="s">
        <v>102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 t="s">
        <v>102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</row>
    <row r="373" spans="1:43" x14ac:dyDescent="0.35">
      <c r="A373">
        <v>164400</v>
      </c>
      <c r="B373" t="s">
        <v>1935</v>
      </c>
      <c r="C373" t="s">
        <v>1936</v>
      </c>
      <c r="D373" t="s">
        <v>1937</v>
      </c>
      <c r="E373" t="s">
        <v>1938</v>
      </c>
      <c r="F373" t="s">
        <v>1939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 t="s">
        <v>102</v>
      </c>
      <c r="R373" t="s">
        <v>102</v>
      </c>
      <c r="S373" t="s">
        <v>102</v>
      </c>
      <c r="T373" t="s">
        <v>102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 t="s">
        <v>102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</row>
    <row r="374" spans="1:43" x14ac:dyDescent="0.35">
      <c r="A374" t="s">
        <v>1940</v>
      </c>
      <c r="B374" t="s">
        <v>1941</v>
      </c>
      <c r="C374" t="s">
        <v>1942</v>
      </c>
      <c r="D374" t="s">
        <v>1943</v>
      </c>
      <c r="E374" t="s">
        <v>1944</v>
      </c>
      <c r="F374" t="s">
        <v>1945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 t="s">
        <v>102</v>
      </c>
      <c r="R374" t="s">
        <v>102</v>
      </c>
      <c r="S374" t="s">
        <v>102</v>
      </c>
      <c r="T374" t="s">
        <v>102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 t="s">
        <v>102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</row>
    <row r="375" spans="1:43" x14ac:dyDescent="0.35">
      <c r="A375">
        <v>164390</v>
      </c>
      <c r="B375" t="s">
        <v>1946</v>
      </c>
      <c r="C375" t="s">
        <v>1947</v>
      </c>
      <c r="D375" t="s">
        <v>1948</v>
      </c>
      <c r="E375" t="s">
        <v>1949</v>
      </c>
      <c r="F375" t="s">
        <v>1950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</row>
    <row r="376" spans="1:43" x14ac:dyDescent="0.35">
      <c r="A376">
        <v>164300</v>
      </c>
      <c r="B376" t="s">
        <v>1951</v>
      </c>
      <c r="C376" t="s">
        <v>1952</v>
      </c>
      <c r="D376" t="s">
        <v>1953</v>
      </c>
      <c r="E376" t="s">
        <v>1954</v>
      </c>
      <c r="F376" t="s">
        <v>1955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</row>
    <row r="377" spans="1:43" x14ac:dyDescent="0.35">
      <c r="A377" t="s">
        <v>1956</v>
      </c>
      <c r="B377" t="s">
        <v>1957</v>
      </c>
      <c r="C377" t="s">
        <v>1958</v>
      </c>
      <c r="D377" t="s">
        <v>1959</v>
      </c>
      <c r="E377" t="s">
        <v>1960</v>
      </c>
      <c r="F377" t="s">
        <v>1961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</row>
    <row r="378" spans="1:43" x14ac:dyDescent="0.35">
      <c r="A378">
        <v>164290</v>
      </c>
      <c r="B378" t="s">
        <v>1962</v>
      </c>
      <c r="C378" t="s">
        <v>1963</v>
      </c>
      <c r="D378" t="s">
        <v>1964</v>
      </c>
      <c r="E378" t="s">
        <v>1965</v>
      </c>
      <c r="F378" t="s">
        <v>1966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</row>
    <row r="379" spans="1:43" x14ac:dyDescent="0.35">
      <c r="A379">
        <v>141200</v>
      </c>
      <c r="B379" t="s">
        <v>356</v>
      </c>
      <c r="C379" t="s">
        <v>357</v>
      </c>
      <c r="D379" t="s">
        <v>358</v>
      </c>
      <c r="E379" t="s">
        <v>359</v>
      </c>
      <c r="F379" t="s">
        <v>360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 t="s">
        <v>102</v>
      </c>
      <c r="R379" t="s">
        <v>102</v>
      </c>
      <c r="S379" t="s">
        <v>102</v>
      </c>
      <c r="T379" t="s">
        <v>102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 t="s">
        <v>102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</row>
    <row r="380" spans="1:43" x14ac:dyDescent="0.35">
      <c r="A380" t="s">
        <v>1967</v>
      </c>
      <c r="B380" t="s">
        <v>1967</v>
      </c>
      <c r="C380" t="s">
        <v>1967</v>
      </c>
      <c r="D380" t="s">
        <v>1967</v>
      </c>
      <c r="E380" t="s">
        <v>1967</v>
      </c>
      <c r="F380" t="s">
        <v>1967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 t="s">
        <v>102</v>
      </c>
      <c r="R380" t="s">
        <v>102</v>
      </c>
      <c r="S380" t="s">
        <v>102</v>
      </c>
      <c r="T380" t="s">
        <v>102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 t="s">
        <v>102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</row>
    <row r="381" spans="1:43" x14ac:dyDescent="0.35">
      <c r="A381" t="s">
        <v>1968</v>
      </c>
      <c r="B381" t="s">
        <v>1968</v>
      </c>
      <c r="C381" t="s">
        <v>1968</v>
      </c>
      <c r="D381" t="s">
        <v>1968</v>
      </c>
      <c r="E381" t="s">
        <v>1968</v>
      </c>
      <c r="F381" t="s">
        <v>1968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 t="s">
        <v>102</v>
      </c>
      <c r="R381" t="s">
        <v>102</v>
      </c>
      <c r="S381" t="s">
        <v>102</v>
      </c>
      <c r="T381" t="s">
        <v>102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 t="s">
        <v>102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</row>
    <row r="382" spans="1:43" x14ac:dyDescent="0.35">
      <c r="A382" t="s">
        <v>1969</v>
      </c>
      <c r="B382" t="s">
        <v>1970</v>
      </c>
      <c r="C382" t="s">
        <v>1971</v>
      </c>
      <c r="D382" t="s">
        <v>1972</v>
      </c>
      <c r="E382" t="s">
        <v>1973</v>
      </c>
      <c r="F382" t="s">
        <v>1974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 t="s">
        <v>102</v>
      </c>
      <c r="R382" t="s">
        <v>102</v>
      </c>
      <c r="S382" t="s">
        <v>102</v>
      </c>
      <c r="T382" t="s">
        <v>102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 t="s">
        <v>102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</row>
    <row r="383" spans="1:43" x14ac:dyDescent="0.35">
      <c r="A383" t="s">
        <v>1975</v>
      </c>
      <c r="B383" t="s">
        <v>1976</v>
      </c>
      <c r="C383" t="s">
        <v>1977</v>
      </c>
      <c r="D383" t="s">
        <v>1978</v>
      </c>
      <c r="E383" t="s">
        <v>1979</v>
      </c>
      <c r="F383" t="s">
        <v>1980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 t="s">
        <v>102</v>
      </c>
      <c r="R383" t="s">
        <v>102</v>
      </c>
      <c r="S383" t="s">
        <v>102</v>
      </c>
      <c r="T383" t="s">
        <v>102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 t="s">
        <v>102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</row>
    <row r="384" spans="1:43" x14ac:dyDescent="0.35">
      <c r="A384" t="s">
        <v>1981</v>
      </c>
      <c r="B384" t="s">
        <v>1982</v>
      </c>
      <c r="C384" t="s">
        <v>1983</v>
      </c>
      <c r="D384" t="s">
        <v>1984</v>
      </c>
      <c r="E384" t="s">
        <v>1985</v>
      </c>
      <c r="F384" t="s">
        <v>1986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 t="s">
        <v>102</v>
      </c>
      <c r="R384" t="s">
        <v>102</v>
      </c>
      <c r="S384" t="s">
        <v>102</v>
      </c>
      <c r="T384" t="s">
        <v>102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 t="s">
        <v>102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</row>
    <row r="385" spans="1:43" x14ac:dyDescent="0.35">
      <c r="A385" t="s">
        <v>1987</v>
      </c>
      <c r="B385" t="s">
        <v>1988</v>
      </c>
      <c r="C385" t="s">
        <v>1989</v>
      </c>
      <c r="D385" t="s">
        <v>1990</v>
      </c>
      <c r="E385" t="s">
        <v>1991</v>
      </c>
      <c r="F385" t="s">
        <v>1992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 t="s">
        <v>102</v>
      </c>
      <c r="R385" t="s">
        <v>102</v>
      </c>
      <c r="S385" t="s">
        <v>102</v>
      </c>
      <c r="T385" t="s">
        <v>102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 t="s">
        <v>102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</row>
    <row r="386" spans="1:43" x14ac:dyDescent="0.35">
      <c r="A386" t="s">
        <v>1993</v>
      </c>
      <c r="B386" t="s">
        <v>1994</v>
      </c>
      <c r="C386" t="s">
        <v>1995</v>
      </c>
      <c r="D386" t="s">
        <v>1996</v>
      </c>
      <c r="E386" t="s">
        <v>1997</v>
      </c>
      <c r="F386" t="s">
        <v>1998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 t="s">
        <v>102</v>
      </c>
      <c r="R386" t="s">
        <v>102</v>
      </c>
      <c r="S386" t="s">
        <v>102</v>
      </c>
      <c r="T386" t="s">
        <v>102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 t="s">
        <v>102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</row>
    <row r="387" spans="1:43" x14ac:dyDescent="0.35">
      <c r="A387" t="s">
        <v>1999</v>
      </c>
      <c r="B387" t="s">
        <v>2000</v>
      </c>
      <c r="C387" t="s">
        <v>2001</v>
      </c>
      <c r="D387" t="s">
        <v>2002</v>
      </c>
      <c r="E387" t="s">
        <v>2003</v>
      </c>
      <c r="F387" t="s">
        <v>2004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 t="s">
        <v>102</v>
      </c>
      <c r="R387" t="s">
        <v>102</v>
      </c>
      <c r="S387" t="s">
        <v>102</v>
      </c>
      <c r="T387" t="s">
        <v>102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 t="s">
        <v>102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</row>
    <row r="388" spans="1:43" x14ac:dyDescent="0.35">
      <c r="A388" t="s">
        <v>2005</v>
      </c>
      <c r="B388" t="s">
        <v>1239</v>
      </c>
      <c r="C388" t="s">
        <v>1240</v>
      </c>
      <c r="D388" t="s">
        <v>1241</v>
      </c>
      <c r="E388" t="s">
        <v>1242</v>
      </c>
      <c r="F388" t="s">
        <v>1243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 t="s">
        <v>102</v>
      </c>
      <c r="R388" t="s">
        <v>102</v>
      </c>
      <c r="S388" t="s">
        <v>102</v>
      </c>
      <c r="T388" t="s">
        <v>102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 t="s">
        <v>102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</row>
    <row r="389" spans="1:43" x14ac:dyDescent="0.35">
      <c r="A389" t="s">
        <v>2006</v>
      </c>
      <c r="B389" t="s">
        <v>2007</v>
      </c>
      <c r="C389" t="s">
        <v>2008</v>
      </c>
      <c r="D389" t="s">
        <v>2009</v>
      </c>
      <c r="E389" t="s">
        <v>2010</v>
      </c>
      <c r="F389" t="s">
        <v>2011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 t="s">
        <v>102</v>
      </c>
      <c r="R389" t="s">
        <v>102</v>
      </c>
      <c r="S389" t="s">
        <v>102</v>
      </c>
      <c r="T389" t="s">
        <v>102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 t="s">
        <v>102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</row>
    <row r="390" spans="1:43" x14ac:dyDescent="0.35">
      <c r="A390" t="s">
        <v>2012</v>
      </c>
      <c r="B390" t="s">
        <v>2000</v>
      </c>
      <c r="C390" t="s">
        <v>2001</v>
      </c>
      <c r="D390" t="s">
        <v>2002</v>
      </c>
      <c r="E390" t="s">
        <v>2003</v>
      </c>
      <c r="F390" t="s">
        <v>2004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 t="s">
        <v>102</v>
      </c>
      <c r="R390" t="s">
        <v>102</v>
      </c>
      <c r="S390" t="s">
        <v>102</v>
      </c>
      <c r="T390" t="s">
        <v>102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 t="s">
        <v>102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</row>
    <row r="391" spans="1:43" x14ac:dyDescent="0.35">
      <c r="A391" t="s">
        <v>2013</v>
      </c>
      <c r="B391" t="s">
        <v>1233</v>
      </c>
      <c r="C391" t="s">
        <v>1234</v>
      </c>
      <c r="D391" t="s">
        <v>1235</v>
      </c>
      <c r="E391" t="s">
        <v>1236</v>
      </c>
      <c r="F391" t="s">
        <v>1237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 t="s">
        <v>102</v>
      </c>
      <c r="R391" t="s">
        <v>102</v>
      </c>
      <c r="S391" t="s">
        <v>102</v>
      </c>
      <c r="T391" t="s">
        <v>102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 t="s">
        <v>102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</row>
    <row r="392" spans="1:43" x14ac:dyDescent="0.35">
      <c r="A392" t="s">
        <v>2014</v>
      </c>
      <c r="B392" t="s">
        <v>2007</v>
      </c>
      <c r="C392" t="s">
        <v>2008</v>
      </c>
      <c r="D392" t="s">
        <v>2009</v>
      </c>
      <c r="E392" t="s">
        <v>2010</v>
      </c>
      <c r="F392" t="s">
        <v>2011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</row>
    <row r="393" spans="1:43" x14ac:dyDescent="0.35">
      <c r="A393" t="s">
        <v>2015</v>
      </c>
      <c r="B393" t="s">
        <v>1233</v>
      </c>
      <c r="C393" t="s">
        <v>1234</v>
      </c>
      <c r="D393" t="s">
        <v>1235</v>
      </c>
      <c r="E393" t="s">
        <v>1236</v>
      </c>
      <c r="F393" t="s">
        <v>1237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</row>
    <row r="394" spans="1:43" x14ac:dyDescent="0.35">
      <c r="A394" t="s">
        <v>2016</v>
      </c>
      <c r="B394" t="s">
        <v>2017</v>
      </c>
      <c r="C394" t="s">
        <v>2018</v>
      </c>
      <c r="D394" t="s">
        <v>2019</v>
      </c>
      <c r="E394" t="s">
        <v>2020</v>
      </c>
      <c r="F394" t="s">
        <v>2021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</row>
    <row r="395" spans="1:43" x14ac:dyDescent="0.35">
      <c r="A395" t="s">
        <v>2022</v>
      </c>
      <c r="B395" t="s">
        <v>2023</v>
      </c>
      <c r="C395" t="s">
        <v>2024</v>
      </c>
      <c r="D395" t="s">
        <v>2025</v>
      </c>
      <c r="E395" t="s">
        <v>2026</v>
      </c>
      <c r="F395" t="s">
        <v>2027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</row>
    <row r="396" spans="1:43" x14ac:dyDescent="0.35">
      <c r="A396" t="s">
        <v>2028</v>
      </c>
      <c r="B396" t="s">
        <v>1137</v>
      </c>
      <c r="C396" t="s">
        <v>1138</v>
      </c>
      <c r="D396" t="s">
        <v>1139</v>
      </c>
      <c r="E396" t="s">
        <v>1140</v>
      </c>
      <c r="F396" t="s">
        <v>1141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 t="s">
        <v>102</v>
      </c>
      <c r="R396" t="s">
        <v>102</v>
      </c>
      <c r="S396" t="s">
        <v>102</v>
      </c>
      <c r="T396" t="s">
        <v>102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 t="s">
        <v>102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</row>
    <row r="397" spans="1:43" x14ac:dyDescent="0.35">
      <c r="A397" t="s">
        <v>2029</v>
      </c>
      <c r="B397" t="s">
        <v>2030</v>
      </c>
      <c r="C397" t="s">
        <v>755</v>
      </c>
      <c r="D397" t="s">
        <v>756</v>
      </c>
      <c r="E397" t="s">
        <v>757</v>
      </c>
      <c r="F397" t="s">
        <v>2031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 t="s">
        <v>102</v>
      </c>
      <c r="R397" t="s">
        <v>102</v>
      </c>
      <c r="S397" t="s">
        <v>102</v>
      </c>
      <c r="T397" t="s">
        <v>102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 t="s">
        <v>102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</row>
    <row r="398" spans="1:43" x14ac:dyDescent="0.35">
      <c r="A398" t="s">
        <v>2032</v>
      </c>
      <c r="B398" t="s">
        <v>2033</v>
      </c>
      <c r="C398" t="s">
        <v>2034</v>
      </c>
      <c r="D398" t="s">
        <v>2035</v>
      </c>
      <c r="E398" t="s">
        <v>2036</v>
      </c>
      <c r="F398" t="s">
        <v>2037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 t="s">
        <v>102</v>
      </c>
      <c r="R398" t="s">
        <v>102</v>
      </c>
      <c r="S398" t="s">
        <v>102</v>
      </c>
      <c r="T398" t="s">
        <v>102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 t="s">
        <v>102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</row>
    <row r="399" spans="1:43" x14ac:dyDescent="0.35">
      <c r="A399" t="s">
        <v>2038</v>
      </c>
      <c r="B399" t="s">
        <v>1412</v>
      </c>
      <c r="C399" t="s">
        <v>1413</v>
      </c>
      <c r="D399" t="s">
        <v>1414</v>
      </c>
      <c r="E399" t="s">
        <v>1415</v>
      </c>
      <c r="F399" t="s">
        <v>1416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 t="s">
        <v>102</v>
      </c>
      <c r="R399" t="s">
        <v>102</v>
      </c>
      <c r="S399" t="s">
        <v>102</v>
      </c>
      <c r="T399" t="s">
        <v>102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 t="s">
        <v>102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</row>
    <row r="400" spans="1:43" x14ac:dyDescent="0.35">
      <c r="A400" t="s">
        <v>2039</v>
      </c>
      <c r="B400" t="s">
        <v>2040</v>
      </c>
      <c r="C400" t="s">
        <v>2041</v>
      </c>
      <c r="D400" t="s">
        <v>2042</v>
      </c>
      <c r="E400" t="s">
        <v>2043</v>
      </c>
      <c r="F400" t="s">
        <v>2044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 t="s">
        <v>102</v>
      </c>
      <c r="R400" t="s">
        <v>102</v>
      </c>
      <c r="S400" t="s">
        <v>102</v>
      </c>
      <c r="T400" t="s">
        <v>102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 t="s">
        <v>102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</row>
    <row r="401" spans="1:43" x14ac:dyDescent="0.35">
      <c r="A401" t="s">
        <v>2045</v>
      </c>
      <c r="B401" t="s">
        <v>2046</v>
      </c>
      <c r="C401" t="s">
        <v>2047</v>
      </c>
      <c r="D401" t="s">
        <v>2048</v>
      </c>
      <c r="E401" t="s">
        <v>2049</v>
      </c>
      <c r="F401" t="s">
        <v>2050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 t="s">
        <v>102</v>
      </c>
      <c r="R401" t="s">
        <v>102</v>
      </c>
      <c r="S401" t="s">
        <v>102</v>
      </c>
      <c r="T401" t="s">
        <v>102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 t="s">
        <v>102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</row>
    <row r="402" spans="1:43" x14ac:dyDescent="0.35">
      <c r="A402" t="s">
        <v>2051</v>
      </c>
      <c r="B402" t="s">
        <v>2052</v>
      </c>
      <c r="C402" t="s">
        <v>2053</v>
      </c>
      <c r="D402" t="s">
        <v>2054</v>
      </c>
      <c r="E402" t="s">
        <v>2055</v>
      </c>
      <c r="F402" t="s">
        <v>2056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 t="s">
        <v>102</v>
      </c>
      <c r="R402" t="s">
        <v>102</v>
      </c>
      <c r="S402" t="s">
        <v>102</v>
      </c>
      <c r="T402" t="s">
        <v>102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 t="s">
        <v>102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</row>
    <row r="403" spans="1:43" x14ac:dyDescent="0.35">
      <c r="A403" t="s">
        <v>2057</v>
      </c>
      <c r="B403" t="s">
        <v>2058</v>
      </c>
      <c r="C403" t="s">
        <v>2059</v>
      </c>
      <c r="D403" t="s">
        <v>2060</v>
      </c>
      <c r="E403" t="s">
        <v>2061</v>
      </c>
      <c r="F403" t="s">
        <v>2062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 t="s">
        <v>102</v>
      </c>
      <c r="R403" t="s">
        <v>102</v>
      </c>
      <c r="S403" t="s">
        <v>102</v>
      </c>
      <c r="T403" t="s">
        <v>102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 t="s">
        <v>102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</row>
    <row r="404" spans="1:43" x14ac:dyDescent="0.35">
      <c r="A404" t="s">
        <v>2063</v>
      </c>
      <c r="B404" t="s">
        <v>2064</v>
      </c>
      <c r="C404" t="s">
        <v>2065</v>
      </c>
      <c r="D404" t="s">
        <v>2066</v>
      </c>
      <c r="E404" t="s">
        <v>2067</v>
      </c>
      <c r="F404" t="s">
        <v>2068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 t="s">
        <v>102</v>
      </c>
      <c r="R404" t="s">
        <v>102</v>
      </c>
      <c r="S404" t="s">
        <v>102</v>
      </c>
      <c r="T404" t="s">
        <v>102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 t="s">
        <v>102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</row>
    <row r="405" spans="1:43" x14ac:dyDescent="0.35">
      <c r="A405">
        <v>141100</v>
      </c>
      <c r="B405" t="s">
        <v>2069</v>
      </c>
      <c r="C405" t="s">
        <v>2070</v>
      </c>
      <c r="D405" t="s">
        <v>2071</v>
      </c>
      <c r="E405" t="s">
        <v>2072</v>
      </c>
      <c r="F405" t="s">
        <v>2073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 t="s">
        <v>102</v>
      </c>
      <c r="R405" t="s">
        <v>102</v>
      </c>
      <c r="S405" t="s">
        <v>102</v>
      </c>
      <c r="T405" t="s">
        <v>102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 t="s">
        <v>102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</row>
    <row r="406" spans="1:43" x14ac:dyDescent="0.35">
      <c r="A406" t="s">
        <v>2074</v>
      </c>
      <c r="B406" t="s">
        <v>2075</v>
      </c>
      <c r="C406" t="s">
        <v>2076</v>
      </c>
      <c r="D406" t="s">
        <v>2077</v>
      </c>
      <c r="E406" t="s">
        <v>2078</v>
      </c>
      <c r="F406" t="s">
        <v>2079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 t="s">
        <v>102</v>
      </c>
      <c r="R406" t="s">
        <v>102</v>
      </c>
      <c r="S406" t="s">
        <v>102</v>
      </c>
      <c r="T406" t="s">
        <v>102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 t="s">
        <v>102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</row>
    <row r="407" spans="1:43" x14ac:dyDescent="0.35">
      <c r="A407">
        <v>131600</v>
      </c>
      <c r="B407" t="s">
        <v>2080</v>
      </c>
      <c r="C407" t="s">
        <v>2081</v>
      </c>
      <c r="D407" t="s">
        <v>2082</v>
      </c>
      <c r="E407" t="s">
        <v>2083</v>
      </c>
      <c r="F407" t="s">
        <v>2084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 t="s">
        <v>102</v>
      </c>
      <c r="R407" t="s">
        <v>102</v>
      </c>
      <c r="S407" t="s">
        <v>102</v>
      </c>
      <c r="T407" t="s">
        <v>102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 t="s">
        <v>102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</row>
    <row r="408" spans="1:43" x14ac:dyDescent="0.35">
      <c r="A408">
        <v>131500</v>
      </c>
      <c r="B408" t="s">
        <v>2085</v>
      </c>
      <c r="C408" t="s">
        <v>2086</v>
      </c>
      <c r="D408" t="s">
        <v>2087</v>
      </c>
      <c r="E408" t="s">
        <v>2088</v>
      </c>
      <c r="F408" t="s">
        <v>2089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 t="s">
        <v>102</v>
      </c>
      <c r="R408" t="s">
        <v>102</v>
      </c>
      <c r="S408" t="s">
        <v>102</v>
      </c>
      <c r="T408" t="s">
        <v>102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 t="s">
        <v>102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</row>
    <row r="409" spans="1:43" x14ac:dyDescent="0.35">
      <c r="A409">
        <v>131400</v>
      </c>
      <c r="B409" t="s">
        <v>2090</v>
      </c>
      <c r="C409" t="s">
        <v>2091</v>
      </c>
      <c r="D409" t="s">
        <v>2092</v>
      </c>
      <c r="E409" t="s">
        <v>2093</v>
      </c>
      <c r="F409" t="s">
        <v>2094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</row>
    <row r="410" spans="1:43" x14ac:dyDescent="0.35">
      <c r="A410">
        <v>131300</v>
      </c>
      <c r="B410" t="s">
        <v>2095</v>
      </c>
      <c r="C410" t="s">
        <v>2096</v>
      </c>
      <c r="D410" t="s">
        <v>2097</v>
      </c>
      <c r="E410" t="s">
        <v>2098</v>
      </c>
      <c r="F410" t="s">
        <v>2099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</row>
    <row r="411" spans="1:43" x14ac:dyDescent="0.35">
      <c r="A411">
        <v>131200</v>
      </c>
      <c r="B411" t="s">
        <v>2</v>
      </c>
      <c r="C411" t="s">
        <v>2100</v>
      </c>
      <c r="D411" t="s">
        <v>2101</v>
      </c>
      <c r="E411" t="s">
        <v>2102</v>
      </c>
      <c r="F411" t="s">
        <v>2101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</row>
    <row r="412" spans="1:43" x14ac:dyDescent="0.35">
      <c r="A412">
        <v>131100</v>
      </c>
      <c r="B412" t="s">
        <v>2103</v>
      </c>
      <c r="C412" t="s">
        <v>2104</v>
      </c>
      <c r="D412" t="s">
        <v>2105</v>
      </c>
      <c r="E412" t="s">
        <v>2106</v>
      </c>
      <c r="F412" t="s">
        <v>2105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</row>
    <row r="413" spans="1:43" x14ac:dyDescent="0.35">
      <c r="A413">
        <v>123200</v>
      </c>
      <c r="B413" t="s">
        <v>2107</v>
      </c>
      <c r="C413" t="s">
        <v>2108</v>
      </c>
      <c r="D413" t="s">
        <v>169</v>
      </c>
      <c r="E413" t="s">
        <v>2109</v>
      </c>
      <c r="F413" t="s">
        <v>171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 t="s">
        <v>102</v>
      </c>
      <c r="R413" t="s">
        <v>102</v>
      </c>
      <c r="S413" t="s">
        <v>102</v>
      </c>
      <c r="T413" t="s">
        <v>102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 t="s">
        <v>102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</row>
    <row r="414" spans="1:43" x14ac:dyDescent="0.35">
      <c r="A414">
        <v>123100</v>
      </c>
      <c r="B414" t="s">
        <v>2110</v>
      </c>
      <c r="C414" t="s">
        <v>2111</v>
      </c>
      <c r="D414" t="s">
        <v>2112</v>
      </c>
      <c r="E414" t="s">
        <v>2113</v>
      </c>
      <c r="F414" t="s">
        <v>2114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 t="s">
        <v>102</v>
      </c>
      <c r="R414" t="s">
        <v>102</v>
      </c>
      <c r="S414" t="s">
        <v>102</v>
      </c>
      <c r="T414" t="s">
        <v>102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 t="s">
        <v>102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</row>
    <row r="415" spans="1:43" x14ac:dyDescent="0.35">
      <c r="A415" t="s">
        <v>2115</v>
      </c>
      <c r="B415" t="s">
        <v>2116</v>
      </c>
      <c r="C415" t="s">
        <v>2117</v>
      </c>
      <c r="D415" t="s">
        <v>2118</v>
      </c>
      <c r="E415" t="s">
        <v>2119</v>
      </c>
      <c r="F415" t="s">
        <v>2120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 t="s">
        <v>102</v>
      </c>
      <c r="R415" t="s">
        <v>102</v>
      </c>
      <c r="S415" t="s">
        <v>102</v>
      </c>
      <c r="T415" t="s">
        <v>102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 t="s">
        <v>102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</row>
    <row r="416" spans="1:43" x14ac:dyDescent="0.35">
      <c r="A416">
        <v>122100</v>
      </c>
      <c r="B416" t="s">
        <v>2121</v>
      </c>
      <c r="C416" t="s">
        <v>2122</v>
      </c>
      <c r="D416" t="s">
        <v>2123</v>
      </c>
      <c r="E416" t="s">
        <v>2124</v>
      </c>
      <c r="F416" t="s">
        <v>2125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 t="s">
        <v>102</v>
      </c>
      <c r="R416" t="s">
        <v>102</v>
      </c>
      <c r="S416" t="s">
        <v>102</v>
      </c>
      <c r="T416" t="s">
        <v>102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 t="s">
        <v>102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</row>
    <row r="417" spans="1:43" x14ac:dyDescent="0.35">
      <c r="A417">
        <v>121990</v>
      </c>
      <c r="B417" t="s">
        <v>2126</v>
      </c>
      <c r="C417" t="s">
        <v>2127</v>
      </c>
      <c r="D417" t="s">
        <v>2128</v>
      </c>
      <c r="E417" t="s">
        <v>2129</v>
      </c>
      <c r="F417" t="s">
        <v>2130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 t="s">
        <v>102</v>
      </c>
      <c r="R417" t="s">
        <v>102</v>
      </c>
      <c r="S417" t="s">
        <v>102</v>
      </c>
      <c r="T417" t="s">
        <v>102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 t="s">
        <v>102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</row>
    <row r="418" spans="1:43" x14ac:dyDescent="0.35">
      <c r="A418">
        <v>121900</v>
      </c>
      <c r="B418" t="s">
        <v>2131</v>
      </c>
      <c r="C418" t="s">
        <v>2132</v>
      </c>
      <c r="D418" t="s">
        <v>2133</v>
      </c>
      <c r="E418" t="s">
        <v>2134</v>
      </c>
      <c r="F418" t="s">
        <v>2135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 t="s">
        <v>102</v>
      </c>
      <c r="R418" t="s">
        <v>102</v>
      </c>
      <c r="S418" t="s">
        <v>102</v>
      </c>
      <c r="T418" t="s">
        <v>102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 t="s">
        <v>102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</row>
    <row r="419" spans="1:43" x14ac:dyDescent="0.35">
      <c r="A419" t="s">
        <v>2136</v>
      </c>
      <c r="B419" t="s">
        <v>2137</v>
      </c>
      <c r="C419" t="s">
        <v>2138</v>
      </c>
      <c r="D419" t="s">
        <v>2139</v>
      </c>
      <c r="E419" t="s">
        <v>2140</v>
      </c>
      <c r="F419" t="s">
        <v>2141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 t="s">
        <v>102</v>
      </c>
      <c r="R419" t="s">
        <v>102</v>
      </c>
      <c r="S419" t="s">
        <v>102</v>
      </c>
      <c r="T419" t="s">
        <v>102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 t="s">
        <v>102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</row>
    <row r="420" spans="1:43" x14ac:dyDescent="0.35">
      <c r="A420" t="s">
        <v>2142</v>
      </c>
      <c r="B420" t="s">
        <v>2143</v>
      </c>
      <c r="C420" t="s">
        <v>2144</v>
      </c>
      <c r="D420" t="s">
        <v>2145</v>
      </c>
      <c r="E420" t="s">
        <v>2146</v>
      </c>
      <c r="F420" t="s">
        <v>2147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 t="s">
        <v>102</v>
      </c>
      <c r="R420" t="s">
        <v>102</v>
      </c>
      <c r="S420" t="s">
        <v>102</v>
      </c>
      <c r="T420" t="s">
        <v>102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 t="s">
        <v>102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</row>
    <row r="421" spans="1:43" x14ac:dyDescent="0.35">
      <c r="A421">
        <v>111100</v>
      </c>
      <c r="B421" t="s">
        <v>2148</v>
      </c>
      <c r="C421" t="s">
        <v>2149</v>
      </c>
      <c r="D421" t="s">
        <v>2150</v>
      </c>
      <c r="E421" t="s">
        <v>2151</v>
      </c>
      <c r="F421" t="s">
        <v>2152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 t="s">
        <v>102</v>
      </c>
      <c r="R421" t="s">
        <v>102</v>
      </c>
      <c r="S421" t="s">
        <v>102</v>
      </c>
      <c r="T421" t="s">
        <v>102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 t="s">
        <v>102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</row>
    <row r="422" spans="1:43" x14ac:dyDescent="0.35">
      <c r="A422">
        <v>111200</v>
      </c>
      <c r="B422" t="s">
        <v>2153</v>
      </c>
      <c r="C422" t="s">
        <v>2154</v>
      </c>
      <c r="D422" t="s">
        <v>2155</v>
      </c>
      <c r="E422" t="s">
        <v>2156</v>
      </c>
      <c r="F422" t="s">
        <v>2157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 t="s">
        <v>102</v>
      </c>
      <c r="R422" t="s">
        <v>102</v>
      </c>
      <c r="S422" t="s">
        <v>102</v>
      </c>
      <c r="T422" t="s">
        <v>102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 t="s">
        <v>102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</row>
    <row r="423" spans="1:43" x14ac:dyDescent="0.35">
      <c r="A423">
        <v>121100</v>
      </c>
      <c r="B423" t="s">
        <v>2158</v>
      </c>
      <c r="C423" t="s">
        <v>2159</v>
      </c>
      <c r="D423" t="s">
        <v>2160</v>
      </c>
      <c r="E423" t="s">
        <v>2161</v>
      </c>
      <c r="F423" t="s">
        <v>2162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 t="s">
        <v>102</v>
      </c>
      <c r="R423" t="s">
        <v>102</v>
      </c>
      <c r="S423" t="s">
        <v>102</v>
      </c>
      <c r="T423" t="s">
        <v>102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 t="s">
        <v>102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</row>
    <row r="424" spans="1:43" x14ac:dyDescent="0.35">
      <c r="A424">
        <v>121190</v>
      </c>
      <c r="B424" t="s">
        <v>2163</v>
      </c>
      <c r="C424" t="s">
        <v>2164</v>
      </c>
      <c r="D424" t="s">
        <v>2165</v>
      </c>
      <c r="E424" t="s">
        <v>2166</v>
      </c>
      <c r="F424" t="s">
        <v>2167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 t="s">
        <v>102</v>
      </c>
      <c r="R424" t="s">
        <v>102</v>
      </c>
      <c r="S424" t="s">
        <v>102</v>
      </c>
      <c r="T424" t="s">
        <v>102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 t="s">
        <v>102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</row>
    <row r="425" spans="1:43" x14ac:dyDescent="0.35">
      <c r="A425">
        <v>121800</v>
      </c>
      <c r="B425" t="s">
        <v>2168</v>
      </c>
      <c r="C425" t="s">
        <v>2169</v>
      </c>
      <c r="D425" t="s">
        <v>2170</v>
      </c>
      <c r="E425" t="s">
        <v>2171</v>
      </c>
      <c r="F425" t="s">
        <v>2172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 t="s">
        <v>102</v>
      </c>
      <c r="R425" t="s">
        <v>102</v>
      </c>
      <c r="S425" t="s">
        <v>102</v>
      </c>
      <c r="T425" t="s">
        <v>102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 t="s">
        <v>102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</row>
    <row r="426" spans="1:43" x14ac:dyDescent="0.35">
      <c r="A426">
        <v>121700</v>
      </c>
      <c r="B426" t="s">
        <v>2173</v>
      </c>
      <c r="C426" t="s">
        <v>2174</v>
      </c>
      <c r="D426" t="s">
        <v>2175</v>
      </c>
      <c r="E426" t="s">
        <v>2176</v>
      </c>
      <c r="F426" t="s">
        <v>2177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</row>
    <row r="427" spans="1:43" x14ac:dyDescent="0.35">
      <c r="A427">
        <v>121600</v>
      </c>
      <c r="B427" t="s">
        <v>2178</v>
      </c>
      <c r="C427" t="s">
        <v>2179</v>
      </c>
      <c r="D427" t="s">
        <v>2180</v>
      </c>
      <c r="E427" t="s">
        <v>2181</v>
      </c>
      <c r="F427" t="s">
        <v>2182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</row>
    <row r="428" spans="1:43" x14ac:dyDescent="0.35">
      <c r="A428">
        <v>121500</v>
      </c>
      <c r="B428" t="s">
        <v>2183</v>
      </c>
      <c r="C428" t="s">
        <v>2184</v>
      </c>
      <c r="D428" t="s">
        <v>2185</v>
      </c>
      <c r="E428" t="s">
        <v>2186</v>
      </c>
      <c r="F428" t="s">
        <v>2187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</row>
    <row r="429" spans="1:43" x14ac:dyDescent="0.35">
      <c r="A429">
        <v>121200</v>
      </c>
      <c r="B429" t="s">
        <v>2188</v>
      </c>
      <c r="C429" t="s">
        <v>2189</v>
      </c>
      <c r="D429" t="s">
        <v>2190</v>
      </c>
      <c r="E429" t="s">
        <v>2191</v>
      </c>
      <c r="F429" t="s">
        <v>2192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</row>
    <row r="430" spans="1:43" x14ac:dyDescent="0.35">
      <c r="A430">
        <v>121300</v>
      </c>
      <c r="B430" t="s">
        <v>2193</v>
      </c>
      <c r="C430" t="s">
        <v>2194</v>
      </c>
      <c r="D430" t="s">
        <v>2195</v>
      </c>
      <c r="E430" t="s">
        <v>2196</v>
      </c>
      <c r="F430" t="s">
        <v>2197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 t="s">
        <v>102</v>
      </c>
      <c r="R430" t="s">
        <v>102</v>
      </c>
      <c r="S430" t="s">
        <v>102</v>
      </c>
      <c r="T430" t="s">
        <v>102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 t="s">
        <v>102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</row>
    <row r="431" spans="1:43" x14ac:dyDescent="0.35">
      <c r="A431" t="s">
        <v>9</v>
      </c>
      <c r="B431" t="s">
        <v>2198</v>
      </c>
      <c r="C431" t="s">
        <v>2199</v>
      </c>
      <c r="D431" t="s">
        <v>2200</v>
      </c>
      <c r="E431" t="s">
        <v>2201</v>
      </c>
      <c r="F431" t="s">
        <v>2202</v>
      </c>
    </row>
    <row r="432" spans="1:43" x14ac:dyDescent="0.35">
      <c r="A432">
        <v>121400</v>
      </c>
      <c r="B432" t="s">
        <v>2203</v>
      </c>
      <c r="C432" t="s">
        <v>2204</v>
      </c>
      <c r="D432" t="s">
        <v>2205</v>
      </c>
      <c r="E432" t="s">
        <v>2206</v>
      </c>
      <c r="F432" t="s">
        <v>2207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 t="s">
        <v>102</v>
      </c>
      <c r="R432" t="s">
        <v>102</v>
      </c>
      <c r="S432" t="s">
        <v>102</v>
      </c>
      <c r="T432" t="s">
        <v>102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 t="s">
        <v>102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</row>
    <row r="433" spans="1:43" x14ac:dyDescent="0.35">
      <c r="A433">
        <v>321250</v>
      </c>
      <c r="B433" t="s">
        <v>2208</v>
      </c>
      <c r="C433" t="s">
        <v>2209</v>
      </c>
      <c r="D433" t="s">
        <v>2210</v>
      </c>
      <c r="E433" t="s">
        <v>2211</v>
      </c>
      <c r="F433" t="s">
        <v>2212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 t="s">
        <v>102</v>
      </c>
      <c r="R433" t="s">
        <v>102</v>
      </c>
      <c r="S433" t="s">
        <v>102</v>
      </c>
      <c r="T433" t="s">
        <v>102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 t="s">
        <v>102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</row>
    <row r="434" spans="1:43" x14ac:dyDescent="0.35">
      <c r="A434">
        <v>321300</v>
      </c>
      <c r="B434" t="s">
        <v>2213</v>
      </c>
      <c r="C434" t="s">
        <v>2214</v>
      </c>
      <c r="D434" t="s">
        <v>2215</v>
      </c>
      <c r="E434" t="s">
        <v>2216</v>
      </c>
      <c r="F434" t="s">
        <v>2217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 t="s">
        <v>102</v>
      </c>
      <c r="R434" t="s">
        <v>102</v>
      </c>
      <c r="S434" t="s">
        <v>102</v>
      </c>
      <c r="T434" t="s">
        <v>102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 t="s">
        <v>102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</row>
    <row r="435" spans="1:43" x14ac:dyDescent="0.35">
      <c r="A435">
        <v>321350</v>
      </c>
      <c r="B435" t="s">
        <v>2218</v>
      </c>
      <c r="C435" t="s">
        <v>2219</v>
      </c>
      <c r="D435" t="s">
        <v>2220</v>
      </c>
      <c r="E435" t="s">
        <v>2221</v>
      </c>
      <c r="F435" t="s">
        <v>2222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 t="s">
        <v>102</v>
      </c>
      <c r="R435" t="s">
        <v>102</v>
      </c>
      <c r="S435" t="s">
        <v>102</v>
      </c>
      <c r="T435" t="s">
        <v>102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 t="s">
        <v>102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</row>
    <row r="436" spans="1:43" x14ac:dyDescent="0.35">
      <c r="A436">
        <v>321400</v>
      </c>
      <c r="B436" t="s">
        <v>2223</v>
      </c>
      <c r="C436" t="s">
        <v>2224</v>
      </c>
      <c r="D436" t="s">
        <v>2225</v>
      </c>
      <c r="E436" t="s">
        <v>2226</v>
      </c>
      <c r="F436" t="s">
        <v>2227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 t="s">
        <v>102</v>
      </c>
      <c r="R436" t="s">
        <v>102</v>
      </c>
      <c r="S436" t="s">
        <v>102</v>
      </c>
      <c r="T436" t="s">
        <v>102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 t="s">
        <v>102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</row>
    <row r="437" spans="1:43" x14ac:dyDescent="0.35">
      <c r="A437">
        <v>511000</v>
      </c>
      <c r="B437" t="s">
        <v>2228</v>
      </c>
      <c r="C437" t="s">
        <v>2229</v>
      </c>
      <c r="D437" t="s">
        <v>2230</v>
      </c>
      <c r="E437" t="s">
        <v>2231</v>
      </c>
      <c r="F437" t="s">
        <v>2232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 t="s">
        <v>102</v>
      </c>
      <c r="R437" t="s">
        <v>102</v>
      </c>
      <c r="S437" t="s">
        <v>102</v>
      </c>
      <c r="T437" t="s">
        <v>102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 t="s">
        <v>102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</row>
    <row r="438" spans="1:43" x14ac:dyDescent="0.35">
      <c r="A438">
        <v>412200</v>
      </c>
      <c r="B438" t="s">
        <v>2233</v>
      </c>
      <c r="C438" t="s">
        <v>2234</v>
      </c>
      <c r="D438" t="s">
        <v>2235</v>
      </c>
      <c r="E438" t="s">
        <v>2236</v>
      </c>
      <c r="F438" t="s">
        <v>2237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 t="s">
        <v>102</v>
      </c>
      <c r="R438" t="s">
        <v>102</v>
      </c>
      <c r="S438" t="s">
        <v>102</v>
      </c>
      <c r="T438" t="s">
        <v>102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 t="s">
        <v>102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</row>
    <row r="439" spans="1:43" x14ac:dyDescent="0.35">
      <c r="A439">
        <v>412100</v>
      </c>
      <c r="B439" t="s">
        <v>2238</v>
      </c>
      <c r="C439" t="s">
        <v>2239</v>
      </c>
      <c r="D439" t="s">
        <v>2240</v>
      </c>
      <c r="E439" t="s">
        <v>2241</v>
      </c>
      <c r="F439" t="s">
        <v>2242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 t="s">
        <v>102</v>
      </c>
      <c r="R439" t="s">
        <v>102</v>
      </c>
      <c r="S439" t="s">
        <v>102</v>
      </c>
      <c r="T439" t="s">
        <v>102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 t="s">
        <v>102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</row>
    <row r="440" spans="1:43" x14ac:dyDescent="0.35">
      <c r="A440">
        <v>411300</v>
      </c>
      <c r="B440" t="s">
        <v>2243</v>
      </c>
      <c r="C440" t="s">
        <v>2244</v>
      </c>
      <c r="D440" t="s">
        <v>2245</v>
      </c>
      <c r="E440" t="s">
        <v>2246</v>
      </c>
      <c r="F440" t="s">
        <v>2247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 t="s">
        <v>102</v>
      </c>
      <c r="R440" t="s">
        <v>102</v>
      </c>
      <c r="S440" t="s">
        <v>102</v>
      </c>
      <c r="T440" t="s">
        <v>102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 t="s">
        <v>102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</row>
    <row r="441" spans="1:43" x14ac:dyDescent="0.35">
      <c r="A441">
        <v>411200</v>
      </c>
      <c r="B441" t="s">
        <v>2248</v>
      </c>
      <c r="C441" t="s">
        <v>585</v>
      </c>
      <c r="D441" t="s">
        <v>2249</v>
      </c>
      <c r="E441" t="s">
        <v>587</v>
      </c>
      <c r="F441" t="s">
        <v>2250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 t="s">
        <v>102</v>
      </c>
      <c r="R441" t="s">
        <v>102</v>
      </c>
      <c r="S441" t="s">
        <v>102</v>
      </c>
      <c r="T441" t="s">
        <v>102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 t="s">
        <v>102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</row>
    <row r="442" spans="1:43" x14ac:dyDescent="0.35">
      <c r="A442">
        <v>411100</v>
      </c>
      <c r="B442" t="s">
        <v>589</v>
      </c>
      <c r="C442" t="s">
        <v>590</v>
      </c>
      <c r="D442" t="s">
        <v>591</v>
      </c>
      <c r="E442" t="s">
        <v>592</v>
      </c>
      <c r="F442" t="s">
        <v>2251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 t="s">
        <v>102</v>
      </c>
      <c r="R442" t="s">
        <v>102</v>
      </c>
      <c r="S442" t="s">
        <v>102</v>
      </c>
      <c r="T442" t="s">
        <v>102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 t="s">
        <v>102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</row>
    <row r="443" spans="1:43" x14ac:dyDescent="0.35">
      <c r="A443">
        <v>321750</v>
      </c>
      <c r="B443" t="s">
        <v>2252</v>
      </c>
      <c r="C443" t="s">
        <v>2253</v>
      </c>
      <c r="D443" t="s">
        <v>2254</v>
      </c>
      <c r="E443" t="s">
        <v>2255</v>
      </c>
      <c r="F443" t="s">
        <v>2256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</row>
    <row r="444" spans="1:43" x14ac:dyDescent="0.35">
      <c r="A444">
        <v>321450</v>
      </c>
      <c r="B444" t="s">
        <v>2257</v>
      </c>
      <c r="C444" t="s">
        <v>2258</v>
      </c>
      <c r="D444" t="s">
        <v>2259</v>
      </c>
      <c r="E444" t="s">
        <v>2260</v>
      </c>
      <c r="F444" t="s">
        <v>2261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</row>
    <row r="445" spans="1:43" x14ac:dyDescent="0.35">
      <c r="A445">
        <v>321500</v>
      </c>
      <c r="B445" t="s">
        <v>2262</v>
      </c>
      <c r="C445" t="s">
        <v>2263</v>
      </c>
      <c r="D445" t="s">
        <v>2264</v>
      </c>
      <c r="E445" t="s">
        <v>2265</v>
      </c>
      <c r="F445" t="s">
        <v>2266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</row>
    <row r="446" spans="1:43" x14ac:dyDescent="0.35">
      <c r="A446" t="s">
        <v>17</v>
      </c>
      <c r="B446" t="s">
        <v>2267</v>
      </c>
      <c r="C446" t="s">
        <v>2268</v>
      </c>
      <c r="D446" t="s">
        <v>2269</v>
      </c>
      <c r="E446" t="s">
        <v>2270</v>
      </c>
      <c r="F446" t="s">
        <v>2271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</row>
    <row r="447" spans="1:43" x14ac:dyDescent="0.35">
      <c r="A447">
        <v>321550</v>
      </c>
      <c r="B447" t="s">
        <v>2272</v>
      </c>
      <c r="C447" t="s">
        <v>2273</v>
      </c>
      <c r="D447" t="s">
        <v>2274</v>
      </c>
      <c r="E447" t="s">
        <v>2275</v>
      </c>
      <c r="F447" t="s">
        <v>2276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 t="s">
        <v>102</v>
      </c>
      <c r="R447" t="s">
        <v>102</v>
      </c>
      <c r="S447" t="s">
        <v>102</v>
      </c>
      <c r="T447" t="s">
        <v>102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 t="s">
        <v>102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</row>
    <row r="448" spans="1:43" x14ac:dyDescent="0.35">
      <c r="A448">
        <v>321700</v>
      </c>
      <c r="B448" t="s">
        <v>2277</v>
      </c>
      <c r="C448" t="s">
        <v>2278</v>
      </c>
      <c r="D448" t="s">
        <v>2279</v>
      </c>
      <c r="E448" t="s">
        <v>2280</v>
      </c>
      <c r="F448" t="s">
        <v>2281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 t="s">
        <v>102</v>
      </c>
      <c r="R448" t="s">
        <v>102</v>
      </c>
      <c r="S448" t="s">
        <v>102</v>
      </c>
      <c r="T448" t="s">
        <v>102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 t="s">
        <v>102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</row>
    <row r="449" spans="1:43" x14ac:dyDescent="0.35">
      <c r="A449">
        <v>321650</v>
      </c>
      <c r="B449" t="s">
        <v>2282</v>
      </c>
      <c r="C449" t="s">
        <v>2283</v>
      </c>
      <c r="D449" t="s">
        <v>2284</v>
      </c>
      <c r="E449" t="s">
        <v>2285</v>
      </c>
      <c r="F449" t="s">
        <v>2286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 t="s">
        <v>102</v>
      </c>
      <c r="R449" t="s">
        <v>102</v>
      </c>
      <c r="S449" t="s">
        <v>102</v>
      </c>
      <c r="T449" t="s">
        <v>102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 t="s">
        <v>102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</row>
    <row r="450" spans="1:43" x14ac:dyDescent="0.35">
      <c r="A450">
        <v>321600</v>
      </c>
      <c r="B450" t="s">
        <v>2287</v>
      </c>
      <c r="C450" t="s">
        <v>2288</v>
      </c>
      <c r="D450" t="s">
        <v>2289</v>
      </c>
      <c r="E450" t="s">
        <v>2290</v>
      </c>
      <c r="F450" t="s">
        <v>2291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 t="s">
        <v>102</v>
      </c>
      <c r="R450" t="s">
        <v>102</v>
      </c>
      <c r="S450" t="s">
        <v>102</v>
      </c>
      <c r="T450" t="s">
        <v>102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 t="s">
        <v>102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</row>
    <row r="451" spans="1:43" x14ac:dyDescent="0.35">
      <c r="A451" t="s">
        <v>2292</v>
      </c>
      <c r="B451" t="s">
        <v>2293</v>
      </c>
      <c r="C451" t="s">
        <v>2294</v>
      </c>
      <c r="D451" t="s">
        <v>2293</v>
      </c>
      <c r="E451" t="s">
        <v>2295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 t="s">
        <v>102</v>
      </c>
      <c r="R451" t="s">
        <v>102</v>
      </c>
      <c r="S451" t="s">
        <v>102</v>
      </c>
      <c r="T451" t="s">
        <v>102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 t="s">
        <v>102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</row>
    <row r="452" spans="1:43" x14ac:dyDescent="0.35">
      <c r="A452" t="s">
        <v>2296</v>
      </c>
      <c r="B452" t="s">
        <v>2297</v>
      </c>
      <c r="C452" t="s">
        <v>2298</v>
      </c>
      <c r="D452" t="s">
        <v>2299</v>
      </c>
      <c r="E452" t="s">
        <v>2300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 t="s">
        <v>102</v>
      </c>
      <c r="R452" t="s">
        <v>102</v>
      </c>
      <c r="S452" t="s">
        <v>102</v>
      </c>
      <c r="T452" t="s">
        <v>102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 t="s">
        <v>102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</row>
    <row r="453" spans="1:43" x14ac:dyDescent="0.35">
      <c r="A453" t="s">
        <v>2301</v>
      </c>
      <c r="B453" t="s">
        <v>2302</v>
      </c>
      <c r="C453" t="s">
        <v>2303</v>
      </c>
      <c r="D453" t="s">
        <v>2304</v>
      </c>
      <c r="E453" t="s">
        <v>2305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 t="s">
        <v>102</v>
      </c>
      <c r="R453" t="s">
        <v>102</v>
      </c>
      <c r="S453" t="s">
        <v>102</v>
      </c>
      <c r="T453" t="s">
        <v>102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 t="s">
        <v>102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</row>
    <row r="454" spans="1:43" x14ac:dyDescent="0.35">
      <c r="A454" t="s">
        <v>2306</v>
      </c>
      <c r="B454" t="s">
        <v>2307</v>
      </c>
      <c r="C454" t="s">
        <v>2308</v>
      </c>
      <c r="D454" t="s">
        <v>2307</v>
      </c>
      <c r="E454" t="s">
        <v>2309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 t="s">
        <v>102</v>
      </c>
      <c r="R454" t="s">
        <v>102</v>
      </c>
      <c r="S454" t="s">
        <v>102</v>
      </c>
      <c r="T454" t="s">
        <v>102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 t="s">
        <v>102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</row>
    <row r="455" spans="1:43" x14ac:dyDescent="0.35">
      <c r="A455" t="s">
        <v>2310</v>
      </c>
      <c r="B455" t="s">
        <v>2311</v>
      </c>
      <c r="C455" t="s">
        <v>2312</v>
      </c>
      <c r="D455" t="s">
        <v>2313</v>
      </c>
      <c r="E455" t="s">
        <v>2314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 t="s">
        <v>102</v>
      </c>
      <c r="R455" t="s">
        <v>102</v>
      </c>
      <c r="S455" t="s">
        <v>102</v>
      </c>
      <c r="T455" t="s">
        <v>102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 t="s">
        <v>102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</row>
    <row r="456" spans="1:43" x14ac:dyDescent="0.35">
      <c r="A456" t="s">
        <v>2315</v>
      </c>
      <c r="B456" t="s">
        <v>2316</v>
      </c>
      <c r="C456" t="s">
        <v>2317</v>
      </c>
      <c r="D456" t="s">
        <v>2318</v>
      </c>
      <c r="E456" t="s">
        <v>2319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 t="s">
        <v>102</v>
      </c>
      <c r="R456" t="s">
        <v>102</v>
      </c>
      <c r="S456" t="s">
        <v>102</v>
      </c>
      <c r="T456" t="s">
        <v>102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 t="s">
        <v>102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</row>
    <row r="457" spans="1:43" x14ac:dyDescent="0.35">
      <c r="A457" t="s">
        <v>2320</v>
      </c>
      <c r="B457" t="s">
        <v>2321</v>
      </c>
      <c r="C457" t="s">
        <v>2322</v>
      </c>
      <c r="D457" t="s">
        <v>2321</v>
      </c>
      <c r="E457" t="s">
        <v>2323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 t="s">
        <v>102</v>
      </c>
      <c r="R457" t="s">
        <v>102</v>
      </c>
      <c r="S457" t="s">
        <v>102</v>
      </c>
      <c r="T457" t="s">
        <v>102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 t="s">
        <v>102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</row>
    <row r="458" spans="1:43" x14ac:dyDescent="0.35">
      <c r="A458" t="s">
        <v>2324</v>
      </c>
      <c r="B458" t="s">
        <v>2325</v>
      </c>
      <c r="C458" t="s">
        <v>2326</v>
      </c>
      <c r="D458" t="s">
        <v>2325</v>
      </c>
      <c r="E458" t="s">
        <v>2327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 t="s">
        <v>102</v>
      </c>
      <c r="R458" t="s">
        <v>102</v>
      </c>
      <c r="S458" t="s">
        <v>102</v>
      </c>
      <c r="T458" t="s">
        <v>102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 t="s">
        <v>102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</row>
    <row r="459" spans="1:43" x14ac:dyDescent="0.35">
      <c r="A459" t="s">
        <v>2328</v>
      </c>
      <c r="B459" t="s">
        <v>2329</v>
      </c>
      <c r="C459" t="s">
        <v>2330</v>
      </c>
      <c r="D459" t="s">
        <v>2331</v>
      </c>
      <c r="E459" t="s">
        <v>2332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 t="s">
        <v>102</v>
      </c>
      <c r="R459" t="s">
        <v>102</v>
      </c>
      <c r="S459" t="s">
        <v>102</v>
      </c>
      <c r="T459" t="s">
        <v>102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 t="s">
        <v>102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</row>
    <row r="460" spans="1:43" x14ac:dyDescent="0.35">
      <c r="A460" t="s">
        <v>2333</v>
      </c>
      <c r="B460" t="s">
        <v>2334</v>
      </c>
      <c r="C460" t="s">
        <v>2335</v>
      </c>
      <c r="D460" t="s">
        <v>2336</v>
      </c>
      <c r="E460" t="s">
        <v>2337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</row>
    <row r="461" spans="1:43" x14ac:dyDescent="0.35">
      <c r="A461" t="s">
        <v>2338</v>
      </c>
      <c r="B461" t="s">
        <v>2339</v>
      </c>
      <c r="C461" t="s">
        <v>2340</v>
      </c>
      <c r="D461" t="s">
        <v>2341</v>
      </c>
      <c r="E461" t="s">
        <v>2342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</row>
    <row r="462" spans="1:43" x14ac:dyDescent="0.35">
      <c r="A462" t="s">
        <v>2343</v>
      </c>
      <c r="B462" t="s">
        <v>7</v>
      </c>
      <c r="C462" t="s">
        <v>119</v>
      </c>
      <c r="D462" t="s">
        <v>120</v>
      </c>
      <c r="E462" t="s">
        <v>2344</v>
      </c>
      <c r="F462" t="s">
        <v>122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</row>
    <row r="463" spans="1:43" x14ac:dyDescent="0.35">
      <c r="A463" t="s">
        <v>2345</v>
      </c>
      <c r="B463" t="s">
        <v>2346</v>
      </c>
      <c r="C463" t="s">
        <v>952</v>
      </c>
      <c r="D463" t="s">
        <v>953</v>
      </c>
      <c r="E463" t="s">
        <v>954</v>
      </c>
      <c r="F463" t="s">
        <v>955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</row>
    <row r="464" spans="1:43" x14ac:dyDescent="0.35">
      <c r="A464" t="s">
        <v>2347</v>
      </c>
      <c r="B464" t="s">
        <v>981</v>
      </c>
      <c r="C464" t="s">
        <v>982</v>
      </c>
      <c r="D464" t="s">
        <v>983</v>
      </c>
      <c r="E464" t="s">
        <v>984</v>
      </c>
      <c r="F464" t="s">
        <v>985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 t="s">
        <v>102</v>
      </c>
      <c r="R464" t="s">
        <v>102</v>
      </c>
      <c r="S464" t="s">
        <v>102</v>
      </c>
      <c r="T464" t="s">
        <v>102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 t="s">
        <v>102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</row>
    <row r="465" spans="1:43" x14ac:dyDescent="0.35">
      <c r="A465" t="s">
        <v>2348</v>
      </c>
      <c r="B465" t="s">
        <v>42</v>
      </c>
      <c r="C465" t="s">
        <v>1015</v>
      </c>
      <c r="D465" t="s">
        <v>1016</v>
      </c>
      <c r="E465" t="s">
        <v>1017</v>
      </c>
      <c r="F465" t="s">
        <v>1018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 t="s">
        <v>102</v>
      </c>
      <c r="R465" t="s">
        <v>102</v>
      </c>
      <c r="S465" t="s">
        <v>102</v>
      </c>
      <c r="T465" t="s">
        <v>102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 t="s">
        <v>102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</row>
    <row r="466" spans="1:43" x14ac:dyDescent="0.35">
      <c r="A466" t="s">
        <v>2349</v>
      </c>
      <c r="B466" t="s">
        <v>29</v>
      </c>
      <c r="C466" t="s">
        <v>1055</v>
      </c>
      <c r="D466" t="s">
        <v>1056</v>
      </c>
      <c r="E466" t="s">
        <v>1057</v>
      </c>
      <c r="F466" t="s">
        <v>1058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 t="s">
        <v>102</v>
      </c>
      <c r="R466" t="s">
        <v>102</v>
      </c>
      <c r="S466" t="s">
        <v>102</v>
      </c>
      <c r="T466" t="s">
        <v>102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 t="s">
        <v>102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</row>
    <row r="467" spans="1:43" x14ac:dyDescent="0.35">
      <c r="A467" t="s">
        <v>2350</v>
      </c>
      <c r="B467" t="s">
        <v>2351</v>
      </c>
      <c r="C467" t="s">
        <v>2352</v>
      </c>
      <c r="D467" t="s">
        <v>2353</v>
      </c>
      <c r="E467" t="s">
        <v>2354</v>
      </c>
      <c r="F467" t="s">
        <v>2355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 t="s">
        <v>102</v>
      </c>
      <c r="R467" t="s">
        <v>102</v>
      </c>
      <c r="S467" t="s">
        <v>102</v>
      </c>
      <c r="T467" t="s">
        <v>102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 t="s">
        <v>102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</row>
    <row r="468" spans="1:43" x14ac:dyDescent="0.35">
      <c r="A468" t="s">
        <v>2356</v>
      </c>
      <c r="B468" t="s">
        <v>261</v>
      </c>
      <c r="C468" t="s">
        <v>262</v>
      </c>
      <c r="D468" t="s">
        <v>263</v>
      </c>
      <c r="E468" t="s">
        <v>264</v>
      </c>
      <c r="F468" t="s">
        <v>265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 t="s">
        <v>102</v>
      </c>
      <c r="R468" t="s">
        <v>102</v>
      </c>
      <c r="S468" t="s">
        <v>102</v>
      </c>
      <c r="T468" t="s">
        <v>102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 t="s">
        <v>102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</row>
    <row r="469" spans="1:43" x14ac:dyDescent="0.35">
      <c r="A469" t="s">
        <v>2357</v>
      </c>
      <c r="B469" t="s">
        <v>2358</v>
      </c>
      <c r="C469" t="s">
        <v>2359</v>
      </c>
      <c r="D469" t="s">
        <v>2360</v>
      </c>
      <c r="E469" t="s">
        <v>2361</v>
      </c>
      <c r="F469" t="s">
        <v>2362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 t="s">
        <v>102</v>
      </c>
      <c r="R469" t="s">
        <v>102</v>
      </c>
      <c r="S469" t="s">
        <v>102</v>
      </c>
      <c r="T469" t="s">
        <v>102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 t="s">
        <v>102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</row>
    <row r="470" spans="1:43" x14ac:dyDescent="0.35">
      <c r="A470" t="s">
        <v>2363</v>
      </c>
      <c r="B470" t="s">
        <v>2364</v>
      </c>
      <c r="C470" t="s">
        <v>2365</v>
      </c>
      <c r="D470" t="s">
        <v>2366</v>
      </c>
      <c r="E470" t="s">
        <v>2367</v>
      </c>
      <c r="F470" t="s">
        <v>2368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 t="s">
        <v>102</v>
      </c>
      <c r="R470" t="s">
        <v>102</v>
      </c>
      <c r="S470" t="s">
        <v>102</v>
      </c>
      <c r="T470" t="s">
        <v>102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 t="s">
        <v>102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</row>
    <row r="471" spans="1:43" x14ac:dyDescent="0.35">
      <c r="A471" t="s">
        <v>2369</v>
      </c>
      <c r="B471" t="s">
        <v>211</v>
      </c>
      <c r="C471" t="s">
        <v>212</v>
      </c>
      <c r="D471" t="s">
        <v>213</v>
      </c>
      <c r="E471" t="s">
        <v>214</v>
      </c>
      <c r="F471" t="s">
        <v>215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 t="s">
        <v>102</v>
      </c>
      <c r="R471" t="s">
        <v>102</v>
      </c>
      <c r="S471" t="s">
        <v>102</v>
      </c>
      <c r="T471" t="s">
        <v>102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 t="s">
        <v>102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</row>
    <row r="472" spans="1:43" x14ac:dyDescent="0.35">
      <c r="A472" t="s">
        <v>2370</v>
      </c>
      <c r="B472" t="s">
        <v>2371</v>
      </c>
      <c r="C472" t="s">
        <v>2372</v>
      </c>
      <c r="D472" t="s">
        <v>2373</v>
      </c>
      <c r="E472" t="s">
        <v>2374</v>
      </c>
      <c r="F472" t="s">
        <v>2375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 t="s">
        <v>102</v>
      </c>
      <c r="R472" t="s">
        <v>102</v>
      </c>
      <c r="S472" t="s">
        <v>102</v>
      </c>
      <c r="T472" t="s">
        <v>102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 t="s">
        <v>102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</row>
    <row r="473" spans="1:43" x14ac:dyDescent="0.35">
      <c r="A473" t="s">
        <v>2376</v>
      </c>
      <c r="B473" t="s">
        <v>2377</v>
      </c>
      <c r="C473" t="s">
        <v>2378</v>
      </c>
      <c r="D473" t="s">
        <v>1026</v>
      </c>
      <c r="E473" t="s">
        <v>1027</v>
      </c>
      <c r="F473" t="s">
        <v>1028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 t="s">
        <v>102</v>
      </c>
      <c r="R473" t="s">
        <v>102</v>
      </c>
      <c r="S473" t="s">
        <v>102</v>
      </c>
      <c r="T473" t="s">
        <v>102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 t="s">
        <v>102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</row>
    <row r="474" spans="1:43" x14ac:dyDescent="0.35">
      <c r="A474" t="s">
        <v>2379</v>
      </c>
      <c r="B474" t="s">
        <v>2380</v>
      </c>
      <c r="C474" t="s">
        <v>2381</v>
      </c>
      <c r="D474" t="s">
        <v>1021</v>
      </c>
      <c r="E474" t="s">
        <v>2382</v>
      </c>
      <c r="F474" t="s">
        <v>1023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 t="s">
        <v>102</v>
      </c>
      <c r="R474" t="s">
        <v>102</v>
      </c>
      <c r="S474" t="s">
        <v>102</v>
      </c>
      <c r="T474" t="s">
        <v>102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 t="s">
        <v>102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</row>
    <row r="475" spans="1:43" x14ac:dyDescent="0.35">
      <c r="A475" t="s">
        <v>2383</v>
      </c>
      <c r="B475" t="s">
        <v>2384</v>
      </c>
      <c r="C475" t="s">
        <v>2385</v>
      </c>
      <c r="D475" t="s">
        <v>2386</v>
      </c>
      <c r="E475" t="s">
        <v>2387</v>
      </c>
      <c r="F475" t="s">
        <v>2388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 t="s">
        <v>102</v>
      </c>
      <c r="R475" t="s">
        <v>102</v>
      </c>
      <c r="S475" t="s">
        <v>102</v>
      </c>
      <c r="T475" t="s">
        <v>102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 t="s">
        <v>102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</row>
    <row r="476" spans="1:43" x14ac:dyDescent="0.35">
      <c r="A476" t="s">
        <v>2389</v>
      </c>
      <c r="B476" t="s">
        <v>2390</v>
      </c>
      <c r="C476" t="s">
        <v>2391</v>
      </c>
      <c r="D476" t="s">
        <v>2392</v>
      </c>
      <c r="E476" t="s">
        <v>2393</v>
      </c>
      <c r="F476" t="s">
        <v>2394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 t="s">
        <v>102</v>
      </c>
      <c r="R476" t="s">
        <v>102</v>
      </c>
      <c r="S476" t="s">
        <v>102</v>
      </c>
      <c r="T476" t="s">
        <v>102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 t="s">
        <v>102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</row>
    <row r="477" spans="1:43" x14ac:dyDescent="0.35">
      <c r="A477" t="s">
        <v>2395</v>
      </c>
      <c r="B477" t="s">
        <v>2396</v>
      </c>
      <c r="C477" t="s">
        <v>2397</v>
      </c>
      <c r="D477" t="s">
        <v>2398</v>
      </c>
      <c r="E477" t="s">
        <v>2399</v>
      </c>
      <c r="F477" t="s">
        <v>2400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</row>
    <row r="478" spans="1:43" x14ac:dyDescent="0.35">
      <c r="A478" t="s">
        <v>2401</v>
      </c>
      <c r="B478" t="s">
        <v>2402</v>
      </c>
      <c r="C478" t="s">
        <v>2403</v>
      </c>
      <c r="D478" t="s">
        <v>2404</v>
      </c>
      <c r="E478" t="s">
        <v>2405</v>
      </c>
      <c r="F478" t="s">
        <v>2406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</row>
    <row r="479" spans="1:43" x14ac:dyDescent="0.35">
      <c r="A479" t="s">
        <v>2407</v>
      </c>
      <c r="B479" t="s">
        <v>2408</v>
      </c>
      <c r="C479" t="s">
        <v>2409</v>
      </c>
      <c r="D479" t="s">
        <v>2410</v>
      </c>
      <c r="E479" t="s">
        <v>2411</v>
      </c>
      <c r="F479" t="s">
        <v>2412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</row>
    <row r="480" spans="1:43" x14ac:dyDescent="0.35">
      <c r="A480" t="s">
        <v>2413</v>
      </c>
      <c r="B480" t="s">
        <v>2414</v>
      </c>
      <c r="C480" t="s">
        <v>2415</v>
      </c>
      <c r="D480" t="s">
        <v>2416</v>
      </c>
      <c r="E480" t="s">
        <v>2417</v>
      </c>
      <c r="F480" t="s">
        <v>2418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</row>
    <row r="481" spans="1:43" x14ac:dyDescent="0.35">
      <c r="A481" t="s">
        <v>2419</v>
      </c>
      <c r="B481" t="s">
        <v>2334</v>
      </c>
      <c r="C481" t="s">
        <v>2335</v>
      </c>
      <c r="D481" t="s">
        <v>2336</v>
      </c>
      <c r="E481" t="s">
        <v>2337</v>
      </c>
      <c r="F481" t="s">
        <v>2420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 t="s">
        <v>102</v>
      </c>
      <c r="R481" t="s">
        <v>102</v>
      </c>
      <c r="S481" t="s">
        <v>102</v>
      </c>
      <c r="T481" t="s">
        <v>102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 t="s">
        <v>102</v>
      </c>
      <c r="AD481" t="s">
        <v>102</v>
      </c>
      <c r="AE481" t="s">
        <v>102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</row>
    <row r="482" spans="1:43" x14ac:dyDescent="0.35">
      <c r="A482" t="s">
        <v>2421</v>
      </c>
      <c r="B482" t="s">
        <v>2334</v>
      </c>
      <c r="C482" t="s">
        <v>2335</v>
      </c>
      <c r="D482" t="s">
        <v>2336</v>
      </c>
      <c r="E482" t="s">
        <v>2337</v>
      </c>
      <c r="F482" t="s">
        <v>2422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 t="s">
        <v>102</v>
      </c>
      <c r="R482" t="s">
        <v>102</v>
      </c>
      <c r="S482" t="s">
        <v>102</v>
      </c>
      <c r="T482" t="s">
        <v>102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 t="s">
        <v>102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</row>
    <row r="483" spans="1:43" x14ac:dyDescent="0.35">
      <c r="A483" t="s">
        <v>2423</v>
      </c>
      <c r="B483" t="s">
        <v>2297</v>
      </c>
      <c r="C483" t="s">
        <v>2298</v>
      </c>
      <c r="D483" t="s">
        <v>2299</v>
      </c>
      <c r="E483" t="s">
        <v>2300</v>
      </c>
      <c r="F483" t="s">
        <v>2424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 t="s">
        <v>102</v>
      </c>
      <c r="R483" t="s">
        <v>102</v>
      </c>
      <c r="S483" t="s">
        <v>102</v>
      </c>
      <c r="T483" t="s">
        <v>102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 t="s">
        <v>102</v>
      </c>
      <c r="AD483" t="s">
        <v>102</v>
      </c>
      <c r="AE483" t="s">
        <v>102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</row>
    <row r="484" spans="1:43" x14ac:dyDescent="0.35">
      <c r="A484" t="s">
        <v>2425</v>
      </c>
      <c r="B484" t="s">
        <v>2302</v>
      </c>
      <c r="C484" t="s">
        <v>2303</v>
      </c>
      <c r="D484" t="s">
        <v>2304</v>
      </c>
      <c r="E484" t="s">
        <v>2305</v>
      </c>
      <c r="F484" t="s">
        <v>2426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 t="s">
        <v>102</v>
      </c>
      <c r="R484" t="s">
        <v>102</v>
      </c>
      <c r="S484" t="s">
        <v>102</v>
      </c>
      <c r="T484" t="s">
        <v>102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 t="s">
        <v>102</v>
      </c>
      <c r="AD484" t="s">
        <v>102</v>
      </c>
      <c r="AE484" t="s">
        <v>102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</row>
    <row r="485" spans="1:43" x14ac:dyDescent="0.35">
      <c r="A485" t="s">
        <v>2427</v>
      </c>
      <c r="B485" t="s">
        <v>2428</v>
      </c>
      <c r="C485" t="s">
        <v>2429</v>
      </c>
      <c r="D485" t="s">
        <v>2430</v>
      </c>
      <c r="E485" t="s">
        <v>2431</v>
      </c>
      <c r="F485" t="s">
        <v>2432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 t="s">
        <v>102</v>
      </c>
      <c r="R485" t="s">
        <v>102</v>
      </c>
      <c r="S485" t="s">
        <v>102</v>
      </c>
      <c r="T485" t="s">
        <v>102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 t="s">
        <v>102</v>
      </c>
      <c r="AD485" t="s">
        <v>102</v>
      </c>
      <c r="AE485" t="s">
        <v>102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</row>
    <row r="486" spans="1:43" x14ac:dyDescent="0.35">
      <c r="A486" t="s">
        <v>2433</v>
      </c>
      <c r="B486" t="s">
        <v>2434</v>
      </c>
      <c r="C486" t="s">
        <v>2435</v>
      </c>
      <c r="D486" t="s">
        <v>2436</v>
      </c>
      <c r="E486" t="s">
        <v>2437</v>
      </c>
      <c r="F486" t="s">
        <v>2438</v>
      </c>
      <c r="G486" t="s">
        <v>102</v>
      </c>
      <c r="H486" t="s">
        <v>102</v>
      </c>
      <c r="I486" t="s">
        <v>102</v>
      </c>
      <c r="J486" t="s">
        <v>102</v>
      </c>
      <c r="K486" t="s">
        <v>102</v>
      </c>
      <c r="L486" t="s">
        <v>102</v>
      </c>
      <c r="M486" t="s">
        <v>102</v>
      </c>
      <c r="N486" t="s">
        <v>102</v>
      </c>
      <c r="O486" t="s">
        <v>102</v>
      </c>
      <c r="P486" t="s">
        <v>102</v>
      </c>
      <c r="Q486" t="s">
        <v>102</v>
      </c>
      <c r="R486" t="s">
        <v>102</v>
      </c>
      <c r="S486" t="s">
        <v>102</v>
      </c>
      <c r="T486" t="s">
        <v>102</v>
      </c>
      <c r="U486" t="s">
        <v>102</v>
      </c>
      <c r="V486" t="s">
        <v>102</v>
      </c>
      <c r="W486" t="s">
        <v>102</v>
      </c>
      <c r="X486" t="s">
        <v>102</v>
      </c>
      <c r="Y486" t="s">
        <v>102</v>
      </c>
      <c r="Z486" t="s">
        <v>102</v>
      </c>
      <c r="AA486" t="s">
        <v>102</v>
      </c>
      <c r="AB486" t="s">
        <v>102</v>
      </c>
      <c r="AC486" t="s">
        <v>102</v>
      </c>
      <c r="AD486" t="s">
        <v>102</v>
      </c>
      <c r="AE486" t="s">
        <v>102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</row>
    <row r="487" spans="1:43" x14ac:dyDescent="0.35">
      <c r="A487" t="s">
        <v>2439</v>
      </c>
      <c r="B487" t="s">
        <v>2440</v>
      </c>
      <c r="C487" t="s">
        <v>2441</v>
      </c>
      <c r="D487" t="s">
        <v>2442</v>
      </c>
      <c r="E487" t="s">
        <v>2443</v>
      </c>
      <c r="F487" t="s">
        <v>2444</v>
      </c>
      <c r="G487" t="s">
        <v>102</v>
      </c>
      <c r="H487" t="s">
        <v>102</v>
      </c>
      <c r="I487" t="s">
        <v>102</v>
      </c>
      <c r="J487" t="s">
        <v>102</v>
      </c>
      <c r="K487" t="s">
        <v>102</v>
      </c>
      <c r="L487" t="s">
        <v>102</v>
      </c>
      <c r="M487" t="s">
        <v>102</v>
      </c>
      <c r="N487" t="s">
        <v>102</v>
      </c>
      <c r="O487" t="s">
        <v>102</v>
      </c>
      <c r="P487" t="s">
        <v>102</v>
      </c>
      <c r="Q487" t="s">
        <v>102</v>
      </c>
      <c r="R487" t="s">
        <v>102</v>
      </c>
      <c r="S487" t="s">
        <v>102</v>
      </c>
      <c r="T487" t="s">
        <v>102</v>
      </c>
      <c r="U487" t="s">
        <v>102</v>
      </c>
      <c r="V487" t="s">
        <v>102</v>
      </c>
      <c r="W487" t="s">
        <v>102</v>
      </c>
      <c r="X487" t="s">
        <v>102</v>
      </c>
      <c r="Y487" t="s">
        <v>102</v>
      </c>
      <c r="Z487" t="s">
        <v>102</v>
      </c>
      <c r="AA487" t="s">
        <v>102</v>
      </c>
      <c r="AB487" t="s">
        <v>102</v>
      </c>
      <c r="AC487" t="s">
        <v>102</v>
      </c>
      <c r="AD487" t="s">
        <v>102</v>
      </c>
      <c r="AE487" t="s">
        <v>102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</row>
    <row r="488" spans="1:43" x14ac:dyDescent="0.35">
      <c r="A488" t="s">
        <v>14</v>
      </c>
      <c r="B488" t="s">
        <v>2445</v>
      </c>
      <c r="C488" t="s">
        <v>2446</v>
      </c>
      <c r="D488" t="s">
        <v>2447</v>
      </c>
      <c r="E488" t="s">
        <v>2448</v>
      </c>
      <c r="F488" t="s">
        <v>2449</v>
      </c>
      <c r="G488" t="s">
        <v>102</v>
      </c>
      <c r="H488" t="s">
        <v>102</v>
      </c>
      <c r="I488" t="s">
        <v>102</v>
      </c>
      <c r="J488" t="s">
        <v>102</v>
      </c>
      <c r="K488" t="s">
        <v>102</v>
      </c>
      <c r="L488" t="s">
        <v>102</v>
      </c>
      <c r="M488" t="s">
        <v>102</v>
      </c>
      <c r="N488" t="s">
        <v>102</v>
      </c>
      <c r="O488" t="s">
        <v>102</v>
      </c>
      <c r="P488" t="s">
        <v>102</v>
      </c>
      <c r="Q488" t="s">
        <v>102</v>
      </c>
      <c r="R488" t="s">
        <v>102</v>
      </c>
      <c r="S488" t="s">
        <v>102</v>
      </c>
      <c r="T488" t="s">
        <v>102</v>
      </c>
      <c r="U488" t="s">
        <v>102</v>
      </c>
      <c r="V488" t="s">
        <v>102</v>
      </c>
      <c r="W488" t="s">
        <v>102</v>
      </c>
      <c r="X488" t="s">
        <v>102</v>
      </c>
      <c r="Y488" t="s">
        <v>102</v>
      </c>
      <c r="Z488" t="s">
        <v>102</v>
      </c>
      <c r="AA488" t="s">
        <v>102</v>
      </c>
      <c r="AB488" t="s">
        <v>102</v>
      </c>
      <c r="AC488" t="s">
        <v>102</v>
      </c>
      <c r="AD488" t="s">
        <v>102</v>
      </c>
      <c r="AE488" t="s">
        <v>102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</row>
    <row r="489" spans="1:43" x14ac:dyDescent="0.35">
      <c r="A489" t="s">
        <v>13</v>
      </c>
      <c r="B489" t="s">
        <v>2450</v>
      </c>
      <c r="C489" t="s">
        <v>2451</v>
      </c>
      <c r="D489" t="s">
        <v>2452</v>
      </c>
      <c r="E489" t="s">
        <v>2453</v>
      </c>
      <c r="F489" t="s">
        <v>2454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 t="s">
        <v>102</v>
      </c>
      <c r="R489" t="s">
        <v>102</v>
      </c>
      <c r="S489" t="s">
        <v>102</v>
      </c>
      <c r="T489" t="s">
        <v>102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 t="s">
        <v>102</v>
      </c>
      <c r="AD489" t="s">
        <v>102</v>
      </c>
      <c r="AE489" t="s">
        <v>102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</row>
    <row r="490" spans="1:43" x14ac:dyDescent="0.35">
      <c r="A490" t="s">
        <v>2455</v>
      </c>
      <c r="B490" t="s">
        <v>2456</v>
      </c>
      <c r="C490" t="s">
        <v>2457</v>
      </c>
      <c r="D490" t="s">
        <v>2458</v>
      </c>
      <c r="E490" t="s">
        <v>2459</v>
      </c>
      <c r="F490" t="s">
        <v>2460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 t="s">
        <v>102</v>
      </c>
      <c r="R490" t="s">
        <v>102</v>
      </c>
      <c r="S490" t="s">
        <v>102</v>
      </c>
      <c r="T490" t="s">
        <v>102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 t="s">
        <v>102</v>
      </c>
      <c r="AD490" t="s">
        <v>102</v>
      </c>
      <c r="AE490" t="s">
        <v>102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</row>
    <row r="491" spans="1:43" x14ac:dyDescent="0.35">
      <c r="A491" t="s">
        <v>2461</v>
      </c>
      <c r="B491" t="s">
        <v>27</v>
      </c>
      <c r="C491" t="s">
        <v>2462</v>
      </c>
      <c r="D491" t="s">
        <v>2463</v>
      </c>
      <c r="E491" t="s">
        <v>2464</v>
      </c>
      <c r="F491" t="s">
        <v>2465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 t="s">
        <v>102</v>
      </c>
      <c r="R491" t="s">
        <v>102</v>
      </c>
      <c r="S491" t="s">
        <v>102</v>
      </c>
      <c r="T491" t="s">
        <v>102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 t="s">
        <v>102</v>
      </c>
      <c r="AD491" t="s">
        <v>102</v>
      </c>
      <c r="AE491" t="s">
        <v>102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</row>
    <row r="492" spans="1:43" x14ac:dyDescent="0.35">
      <c r="A492" t="s">
        <v>2466</v>
      </c>
      <c r="B492" t="s">
        <v>2467</v>
      </c>
      <c r="C492" t="s">
        <v>2468</v>
      </c>
      <c r="D492" t="s">
        <v>2469</v>
      </c>
      <c r="E492" t="s">
        <v>2470</v>
      </c>
      <c r="F492" t="s">
        <v>2471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 t="s">
        <v>102</v>
      </c>
      <c r="R492" t="s">
        <v>102</v>
      </c>
      <c r="S492" t="s">
        <v>102</v>
      </c>
      <c r="T492" t="s">
        <v>102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 t="s">
        <v>102</v>
      </c>
      <c r="AD492" t="s">
        <v>102</v>
      </c>
      <c r="AE492" t="s">
        <v>102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</row>
    <row r="493" spans="1:43" x14ac:dyDescent="0.35">
      <c r="A493" t="s">
        <v>2472</v>
      </c>
      <c r="B493" t="s">
        <v>2473</v>
      </c>
      <c r="C493" t="s">
        <v>2474</v>
      </c>
      <c r="D493" t="s">
        <v>2475</v>
      </c>
      <c r="E493" t="s">
        <v>2476</v>
      </c>
      <c r="F493" t="s">
        <v>2477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 t="s">
        <v>102</v>
      </c>
      <c r="R493" t="s">
        <v>102</v>
      </c>
      <c r="S493" t="s">
        <v>102</v>
      </c>
      <c r="T493" t="s">
        <v>102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 t="s">
        <v>102</v>
      </c>
      <c r="AD493" t="s">
        <v>102</v>
      </c>
      <c r="AE493" t="s">
        <v>102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</row>
    <row r="494" spans="1:43" x14ac:dyDescent="0.35">
      <c r="A494" t="s">
        <v>2478</v>
      </c>
      <c r="B494" t="s">
        <v>2479</v>
      </c>
      <c r="C494" t="s">
        <v>2480</v>
      </c>
      <c r="D494" t="s">
        <v>664</v>
      </c>
      <c r="E494" t="s">
        <v>2481</v>
      </c>
      <c r="F494" t="s">
        <v>2482</v>
      </c>
      <c r="G494" t="s">
        <v>102</v>
      </c>
      <c r="H494" t="s">
        <v>102</v>
      </c>
      <c r="I494" t="s">
        <v>102</v>
      </c>
      <c r="J494" t="s">
        <v>102</v>
      </c>
      <c r="K494" t="s">
        <v>102</v>
      </c>
      <c r="L494" t="s">
        <v>102</v>
      </c>
      <c r="M494" t="s">
        <v>102</v>
      </c>
      <c r="N494" t="s">
        <v>102</v>
      </c>
      <c r="O494" t="s">
        <v>102</v>
      </c>
      <c r="P494" t="s">
        <v>102</v>
      </c>
      <c r="Q494" t="s">
        <v>102</v>
      </c>
      <c r="R494" t="s">
        <v>102</v>
      </c>
      <c r="S494" t="s">
        <v>102</v>
      </c>
      <c r="T494" t="s">
        <v>102</v>
      </c>
      <c r="U494" t="s">
        <v>102</v>
      </c>
      <c r="V494" t="s">
        <v>102</v>
      </c>
      <c r="W494" t="s">
        <v>102</v>
      </c>
      <c r="X494" t="s">
        <v>102</v>
      </c>
      <c r="Y494" t="s">
        <v>102</v>
      </c>
      <c r="Z494" t="s">
        <v>102</v>
      </c>
      <c r="AA494" t="s">
        <v>102</v>
      </c>
      <c r="AB494" t="s">
        <v>102</v>
      </c>
      <c r="AC494" t="s">
        <v>102</v>
      </c>
      <c r="AD494" t="s">
        <v>102</v>
      </c>
      <c r="AE494" t="s">
        <v>102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</row>
    <row r="495" spans="1:43" x14ac:dyDescent="0.35">
      <c r="A495" t="s">
        <v>2466</v>
      </c>
      <c r="B495" t="s">
        <v>2483</v>
      </c>
      <c r="C495" t="s">
        <v>2484</v>
      </c>
      <c r="D495" t="s">
        <v>2485</v>
      </c>
      <c r="E495" t="s">
        <v>2486</v>
      </c>
      <c r="F495" t="s">
        <v>2471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</row>
    <row r="496" spans="1:43" x14ac:dyDescent="0.35">
      <c r="A496" t="s">
        <v>2487</v>
      </c>
      <c r="B496" t="s">
        <v>2488</v>
      </c>
      <c r="C496" t="s">
        <v>2489</v>
      </c>
      <c r="D496" t="s">
        <v>2490</v>
      </c>
      <c r="E496" t="s">
        <v>2491</v>
      </c>
      <c r="F496" t="s">
        <v>2492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</row>
    <row r="497" spans="1:43" x14ac:dyDescent="0.35">
      <c r="A497" t="s">
        <v>2493</v>
      </c>
      <c r="B497" t="s">
        <v>2494</v>
      </c>
      <c r="C497" t="s">
        <v>2495</v>
      </c>
      <c r="D497" t="s">
        <v>2496</v>
      </c>
      <c r="E497" t="s">
        <v>2497</v>
      </c>
      <c r="F497" t="s">
        <v>2498</v>
      </c>
      <c r="G497" t="s">
        <v>102</v>
      </c>
      <c r="H497" t="s">
        <v>102</v>
      </c>
      <c r="I497" t="s">
        <v>102</v>
      </c>
      <c r="J497" t="s">
        <v>102</v>
      </c>
      <c r="K497" t="s">
        <v>102</v>
      </c>
      <c r="L497" t="s">
        <v>102</v>
      </c>
      <c r="M497" t="s">
        <v>102</v>
      </c>
      <c r="N497" t="s">
        <v>102</v>
      </c>
      <c r="O497" t="s">
        <v>102</v>
      </c>
      <c r="P497" t="s">
        <v>102</v>
      </c>
      <c r="Q497" t="s">
        <v>102</v>
      </c>
      <c r="R497" t="s">
        <v>102</v>
      </c>
      <c r="S497" t="s">
        <v>102</v>
      </c>
      <c r="T497" t="s">
        <v>102</v>
      </c>
      <c r="U497" t="s">
        <v>102</v>
      </c>
      <c r="V497" t="s">
        <v>102</v>
      </c>
      <c r="W497" t="s">
        <v>102</v>
      </c>
      <c r="X497" t="s">
        <v>102</v>
      </c>
      <c r="Y497" t="s">
        <v>102</v>
      </c>
      <c r="Z497" t="s">
        <v>102</v>
      </c>
      <c r="AA497" t="s">
        <v>102</v>
      </c>
      <c r="AB497" t="s">
        <v>102</v>
      </c>
      <c r="AC497" t="s">
        <v>102</v>
      </c>
      <c r="AD497" t="s">
        <v>102</v>
      </c>
      <c r="AE497" t="s">
        <v>102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</row>
    <row r="498" spans="1:43" x14ac:dyDescent="0.35">
      <c r="A498" t="s">
        <v>2499</v>
      </c>
      <c r="B498" t="s">
        <v>2500</v>
      </c>
      <c r="C498" t="s">
        <v>2501</v>
      </c>
      <c r="D498" t="s">
        <v>2502</v>
      </c>
      <c r="E498" t="s">
        <v>2503</v>
      </c>
      <c r="F498" t="s">
        <v>2504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 t="s">
        <v>102</v>
      </c>
      <c r="R498" t="s">
        <v>102</v>
      </c>
      <c r="S498" t="s">
        <v>102</v>
      </c>
      <c r="T498" t="s">
        <v>102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 t="s">
        <v>102</v>
      </c>
      <c r="AD498" t="s">
        <v>102</v>
      </c>
      <c r="AE498" t="s">
        <v>102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</row>
    <row r="499" spans="1:43" x14ac:dyDescent="0.35">
      <c r="A499" t="s">
        <v>2505</v>
      </c>
      <c r="B499" t="s">
        <v>2506</v>
      </c>
      <c r="C499" t="s">
        <v>2507</v>
      </c>
      <c r="D499" t="s">
        <v>2508</v>
      </c>
      <c r="E499" t="s">
        <v>2509</v>
      </c>
      <c r="F499" t="s">
        <v>2510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 t="s">
        <v>102</v>
      </c>
      <c r="R499" t="s">
        <v>102</v>
      </c>
      <c r="S499" t="s">
        <v>102</v>
      </c>
      <c r="T499" t="s">
        <v>102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 t="s">
        <v>102</v>
      </c>
      <c r="AD499" t="s">
        <v>102</v>
      </c>
      <c r="AE499" t="s">
        <v>102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</row>
    <row r="500" spans="1:43" x14ac:dyDescent="0.35">
      <c r="A500" t="s">
        <v>2511</v>
      </c>
      <c r="B500" t="s">
        <v>2512</v>
      </c>
      <c r="C500" t="s">
        <v>2513</v>
      </c>
      <c r="D500" t="s">
        <v>2514</v>
      </c>
      <c r="E500" t="s">
        <v>2515</v>
      </c>
      <c r="F500" t="s">
        <v>2516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 t="s">
        <v>102</v>
      </c>
      <c r="R500" t="s">
        <v>102</v>
      </c>
      <c r="S500" t="s">
        <v>102</v>
      </c>
      <c r="T500" t="s">
        <v>102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 t="s">
        <v>102</v>
      </c>
      <c r="AD500" t="s">
        <v>102</v>
      </c>
      <c r="AE500" t="s">
        <v>102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</row>
    <row r="501" spans="1:43" x14ac:dyDescent="0.35">
      <c r="A501" t="s">
        <v>2517</v>
      </c>
      <c r="B501" t="s">
        <v>2518</v>
      </c>
      <c r="C501" t="s">
        <v>2519</v>
      </c>
      <c r="D501" t="s">
        <v>2520</v>
      </c>
      <c r="E501" t="s">
        <v>2521</v>
      </c>
      <c r="F501" t="s">
        <v>2522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 t="s">
        <v>102</v>
      </c>
      <c r="R501" t="s">
        <v>102</v>
      </c>
      <c r="S501" t="s">
        <v>102</v>
      </c>
      <c r="T501" t="s">
        <v>102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 t="s">
        <v>102</v>
      </c>
      <c r="AD501" t="s">
        <v>102</v>
      </c>
      <c r="AE501" t="s">
        <v>102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</row>
    <row r="502" spans="1:43" x14ac:dyDescent="0.35">
      <c r="A502" t="s">
        <v>2523</v>
      </c>
      <c r="B502" t="s">
        <v>2524</v>
      </c>
      <c r="C502" t="s">
        <v>2525</v>
      </c>
      <c r="D502" t="s">
        <v>2526</v>
      </c>
      <c r="E502" t="s">
        <v>2527</v>
      </c>
      <c r="F502" t="s">
        <v>2528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 t="s">
        <v>102</v>
      </c>
      <c r="R502" t="s">
        <v>102</v>
      </c>
      <c r="S502" t="s">
        <v>102</v>
      </c>
      <c r="T502" t="s">
        <v>102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 t="s">
        <v>102</v>
      </c>
      <c r="AD502" t="s">
        <v>102</v>
      </c>
      <c r="AE502" t="s">
        <v>102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</row>
    <row r="503" spans="1:43" x14ac:dyDescent="0.35">
      <c r="A503" t="s">
        <v>11</v>
      </c>
      <c r="B503" t="s">
        <v>2529</v>
      </c>
      <c r="C503" t="s">
        <v>2530</v>
      </c>
      <c r="D503" t="s">
        <v>2531</v>
      </c>
      <c r="E503" t="s">
        <v>2532</v>
      </c>
      <c r="F503" t="s">
        <v>2533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 t="s">
        <v>102</v>
      </c>
      <c r="R503" t="s">
        <v>102</v>
      </c>
      <c r="S503" t="s">
        <v>102</v>
      </c>
      <c r="T503" t="s">
        <v>102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 t="s">
        <v>102</v>
      </c>
      <c r="AD503" t="s">
        <v>102</v>
      </c>
      <c r="AE503" t="s">
        <v>102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</row>
    <row r="504" spans="1:43" x14ac:dyDescent="0.35">
      <c r="A504" t="s">
        <v>10</v>
      </c>
      <c r="B504" t="s">
        <v>2534</v>
      </c>
      <c r="C504" t="s">
        <v>2535</v>
      </c>
      <c r="D504" t="s">
        <v>2536</v>
      </c>
      <c r="E504" t="s">
        <v>2537</v>
      </c>
      <c r="F504" t="s">
        <v>2538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 t="s">
        <v>102</v>
      </c>
      <c r="R504" t="s">
        <v>102</v>
      </c>
      <c r="S504" t="s">
        <v>102</v>
      </c>
      <c r="T504" t="s">
        <v>102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 t="s">
        <v>102</v>
      </c>
      <c r="AD504" t="s">
        <v>102</v>
      </c>
      <c r="AE504" t="s">
        <v>102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</row>
    <row r="505" spans="1:43" x14ac:dyDescent="0.35">
      <c r="A505">
        <v>581200</v>
      </c>
      <c r="B505" t="s">
        <v>2539</v>
      </c>
      <c r="C505" t="s">
        <v>2540</v>
      </c>
      <c r="D505" t="s">
        <v>2541</v>
      </c>
      <c r="E505" t="s">
        <v>2542</v>
      </c>
      <c r="F505" t="s">
        <v>2543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 t="s">
        <v>102</v>
      </c>
      <c r="R505" t="s">
        <v>102</v>
      </c>
      <c r="S505" t="s">
        <v>102</v>
      </c>
      <c r="T505" t="s">
        <v>102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 t="s">
        <v>102</v>
      </c>
      <c r="AD505" t="s">
        <v>102</v>
      </c>
      <c r="AE505" t="s">
        <v>102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</row>
    <row r="506" spans="1:43" x14ac:dyDescent="0.35">
      <c r="A506">
        <v>511200</v>
      </c>
      <c r="B506" t="s">
        <v>2544</v>
      </c>
      <c r="C506" t="s">
        <v>2545</v>
      </c>
      <c r="D506" t="s">
        <v>2546</v>
      </c>
      <c r="E506" t="s">
        <v>2547</v>
      </c>
      <c r="F506" t="s">
        <v>2548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 t="s">
        <v>102</v>
      </c>
      <c r="R506" t="s">
        <v>102</v>
      </c>
      <c r="S506" t="s">
        <v>102</v>
      </c>
      <c r="T506" t="s">
        <v>102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 t="s">
        <v>102</v>
      </c>
      <c r="AD506" t="s">
        <v>102</v>
      </c>
      <c r="AE506" t="s">
        <v>102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</row>
    <row r="507" spans="1:43" x14ac:dyDescent="0.35">
      <c r="A507">
        <v>655300</v>
      </c>
      <c r="B507" t="s">
        <v>2549</v>
      </c>
      <c r="C507" t="s">
        <v>2550</v>
      </c>
      <c r="D507" t="s">
        <v>2551</v>
      </c>
      <c r="E507" t="s">
        <v>2552</v>
      </c>
      <c r="F507" t="s">
        <v>2553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O507" t="s">
        <v>102</v>
      </c>
      <c r="P507" t="s">
        <v>102</v>
      </c>
      <c r="Q507" t="s">
        <v>102</v>
      </c>
      <c r="R507" t="s">
        <v>102</v>
      </c>
      <c r="S507" t="s">
        <v>102</v>
      </c>
      <c r="T507" t="s">
        <v>102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 t="s">
        <v>102</v>
      </c>
      <c r="AD507" t="s">
        <v>102</v>
      </c>
      <c r="AE507" t="s">
        <v>102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</row>
    <row r="508" spans="1:43" x14ac:dyDescent="0.35">
      <c r="A508">
        <v>655200</v>
      </c>
      <c r="B508" t="s">
        <v>2554</v>
      </c>
      <c r="C508" t="s">
        <v>2555</v>
      </c>
      <c r="D508" t="s">
        <v>2556</v>
      </c>
      <c r="E508" t="s">
        <v>2557</v>
      </c>
      <c r="F508" t="s">
        <v>2558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 t="s">
        <v>102</v>
      </c>
      <c r="R508" t="s">
        <v>102</v>
      </c>
      <c r="S508" t="s">
        <v>102</v>
      </c>
      <c r="T508" t="s">
        <v>102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 t="s">
        <v>102</v>
      </c>
      <c r="AD508" t="s">
        <v>102</v>
      </c>
      <c r="AE508" t="s">
        <v>102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</row>
    <row r="509" spans="1:43" x14ac:dyDescent="0.35">
      <c r="A509">
        <v>655100</v>
      </c>
      <c r="B509" t="s">
        <v>2559</v>
      </c>
      <c r="C509" t="s">
        <v>2560</v>
      </c>
      <c r="D509" t="s">
        <v>2561</v>
      </c>
      <c r="E509" t="s">
        <v>2562</v>
      </c>
      <c r="F509" t="s">
        <v>2563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 t="s">
        <v>102</v>
      </c>
      <c r="R509" t="s">
        <v>102</v>
      </c>
      <c r="S509" t="s">
        <v>102</v>
      </c>
      <c r="T509" t="s">
        <v>102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 t="s">
        <v>102</v>
      </c>
      <c r="AD509" t="s">
        <v>102</v>
      </c>
      <c r="AE509" t="s">
        <v>102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</row>
    <row r="510" spans="1:43" x14ac:dyDescent="0.35">
      <c r="A510">
        <v>581300</v>
      </c>
      <c r="B510" t="s">
        <v>2564</v>
      </c>
      <c r="C510" t="s">
        <v>2565</v>
      </c>
      <c r="D510" t="s">
        <v>2566</v>
      </c>
      <c r="E510" t="s">
        <v>2567</v>
      </c>
      <c r="F510" t="s">
        <v>2568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 t="s">
        <v>102</v>
      </c>
      <c r="R510" t="s">
        <v>102</v>
      </c>
      <c r="S510" t="s">
        <v>102</v>
      </c>
      <c r="T510" t="s">
        <v>102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 t="s">
        <v>102</v>
      </c>
      <c r="AD510" t="s">
        <v>102</v>
      </c>
      <c r="AE510" t="s">
        <v>102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</row>
    <row r="511" spans="1:43" x14ac:dyDescent="0.35">
      <c r="A511">
        <v>581100</v>
      </c>
      <c r="B511" t="s">
        <v>2569</v>
      </c>
      <c r="C511" t="s">
        <v>2570</v>
      </c>
      <c r="D511" t="s">
        <v>2571</v>
      </c>
      <c r="E511" t="s">
        <v>2572</v>
      </c>
      <c r="F511" t="s">
        <v>2573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</row>
    <row r="512" spans="1:43" x14ac:dyDescent="0.35">
      <c r="A512">
        <v>511300</v>
      </c>
      <c r="B512" t="s">
        <v>2574</v>
      </c>
      <c r="C512" t="s">
        <v>2575</v>
      </c>
      <c r="D512" t="s">
        <v>2576</v>
      </c>
      <c r="E512" t="s">
        <v>2577</v>
      </c>
      <c r="F512" t="s">
        <v>2578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</row>
    <row r="513" spans="1:43" x14ac:dyDescent="0.35">
      <c r="A513">
        <v>511100</v>
      </c>
      <c r="B513" t="s">
        <v>2579</v>
      </c>
      <c r="C513" t="s">
        <v>2570</v>
      </c>
      <c r="D513" t="s">
        <v>2580</v>
      </c>
      <c r="E513" t="s">
        <v>2581</v>
      </c>
      <c r="F513" t="s">
        <v>2582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</row>
    <row r="514" spans="1:43" x14ac:dyDescent="0.35">
      <c r="A514">
        <v>321390</v>
      </c>
      <c r="B514" t="s">
        <v>2583</v>
      </c>
      <c r="C514" t="s">
        <v>2584</v>
      </c>
      <c r="D514" t="s">
        <v>2585</v>
      </c>
      <c r="E514" t="s">
        <v>2586</v>
      </c>
      <c r="F514" t="s">
        <v>2587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</row>
    <row r="515" spans="1:43" x14ac:dyDescent="0.35">
      <c r="A515">
        <v>321380</v>
      </c>
      <c r="B515" t="s">
        <v>2588</v>
      </c>
      <c r="C515" t="s">
        <v>2589</v>
      </c>
      <c r="D515" t="s">
        <v>2590</v>
      </c>
      <c r="E515" t="s">
        <v>2591</v>
      </c>
      <c r="F515" t="s">
        <v>2592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 t="s">
        <v>102</v>
      </c>
      <c r="R515" t="s">
        <v>102</v>
      </c>
      <c r="S515" t="s">
        <v>102</v>
      </c>
      <c r="T515" t="s">
        <v>102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 t="s">
        <v>102</v>
      </c>
      <c r="AD515" t="s">
        <v>102</v>
      </c>
      <c r="AE515" t="s">
        <v>102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</row>
    <row r="516" spans="1:43" x14ac:dyDescent="0.35">
      <c r="A516">
        <v>321360</v>
      </c>
      <c r="B516" t="s">
        <v>2593</v>
      </c>
      <c r="C516" t="s">
        <v>2594</v>
      </c>
      <c r="D516" t="s">
        <v>2595</v>
      </c>
      <c r="E516" t="s">
        <v>2596</v>
      </c>
      <c r="F516" t="s">
        <v>2597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 t="s">
        <v>102</v>
      </c>
      <c r="R516" t="s">
        <v>102</v>
      </c>
      <c r="S516" t="s">
        <v>102</v>
      </c>
      <c r="T516" t="s">
        <v>102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 t="s">
        <v>102</v>
      </c>
      <c r="AD516" t="s">
        <v>102</v>
      </c>
      <c r="AE516" t="s">
        <v>102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</row>
    <row r="517" spans="1:43" x14ac:dyDescent="0.35">
      <c r="A517">
        <v>321310</v>
      </c>
      <c r="B517" t="s">
        <v>2598</v>
      </c>
      <c r="C517" t="s">
        <v>2599</v>
      </c>
      <c r="D517" t="s">
        <v>2600</v>
      </c>
      <c r="E517" t="s">
        <v>2601</v>
      </c>
      <c r="F517" t="s">
        <v>2602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 t="s">
        <v>102</v>
      </c>
      <c r="R517" t="s">
        <v>102</v>
      </c>
      <c r="S517" t="s">
        <v>102</v>
      </c>
      <c r="T517" t="s">
        <v>102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 t="s">
        <v>102</v>
      </c>
      <c r="AD517" t="s">
        <v>102</v>
      </c>
      <c r="AE517" t="s">
        <v>102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</row>
    <row r="518" spans="1:43" x14ac:dyDescent="0.35">
      <c r="A518">
        <v>321260</v>
      </c>
      <c r="B518" t="s">
        <v>2603</v>
      </c>
      <c r="C518" t="s">
        <v>2604</v>
      </c>
      <c r="D518" t="s">
        <v>2605</v>
      </c>
      <c r="E518" t="s">
        <v>2606</v>
      </c>
      <c r="F518" t="s">
        <v>2607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 t="s">
        <v>102</v>
      </c>
      <c r="R518" t="s">
        <v>102</v>
      </c>
      <c r="S518" t="s">
        <v>102</v>
      </c>
      <c r="T518" t="s">
        <v>102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 t="s">
        <v>102</v>
      </c>
      <c r="AD518" t="s">
        <v>102</v>
      </c>
      <c r="AE518" t="s">
        <v>102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</row>
    <row r="519" spans="1:43" x14ac:dyDescent="0.35">
      <c r="A519">
        <v>321210</v>
      </c>
      <c r="B519" t="s">
        <v>2608</v>
      </c>
      <c r="C519" t="s">
        <v>2609</v>
      </c>
      <c r="D519" t="s">
        <v>2610</v>
      </c>
      <c r="E519" t="s">
        <v>2611</v>
      </c>
      <c r="F519" t="s">
        <v>2612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 t="s">
        <v>102</v>
      </c>
      <c r="R519" t="s">
        <v>102</v>
      </c>
      <c r="S519" t="s">
        <v>102</v>
      </c>
      <c r="T519" t="s">
        <v>102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 t="s">
        <v>102</v>
      </c>
      <c r="AD519" t="s">
        <v>102</v>
      </c>
      <c r="AE519" t="s">
        <v>102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</row>
    <row r="520" spans="1:43" x14ac:dyDescent="0.35">
      <c r="A520">
        <v>314550</v>
      </c>
      <c r="B520" t="s">
        <v>2613</v>
      </c>
      <c r="C520" t="s">
        <v>2614</v>
      </c>
      <c r="D520" t="s">
        <v>2615</v>
      </c>
      <c r="E520" t="s">
        <v>2616</v>
      </c>
      <c r="F520" t="s">
        <v>2617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 t="s">
        <v>102</v>
      </c>
      <c r="R520" t="s">
        <v>102</v>
      </c>
      <c r="S520" t="s">
        <v>102</v>
      </c>
      <c r="T520" t="s">
        <v>102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 t="s">
        <v>102</v>
      </c>
      <c r="AD520" t="s">
        <v>102</v>
      </c>
      <c r="AE520" t="s">
        <v>102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</row>
    <row r="521" spans="1:43" x14ac:dyDescent="0.35">
      <c r="A521">
        <v>314450</v>
      </c>
      <c r="B521" t="s">
        <v>2618</v>
      </c>
      <c r="C521" t="s">
        <v>2619</v>
      </c>
      <c r="D521" t="s">
        <v>2620</v>
      </c>
      <c r="E521" t="s">
        <v>2621</v>
      </c>
      <c r="F521" t="s">
        <v>2622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 t="s">
        <v>102</v>
      </c>
      <c r="R521" t="s">
        <v>102</v>
      </c>
      <c r="S521" t="s">
        <v>102</v>
      </c>
      <c r="T521" t="s">
        <v>102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 t="s">
        <v>102</v>
      </c>
      <c r="AD521" t="s">
        <v>102</v>
      </c>
      <c r="AE521" t="s">
        <v>102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</row>
    <row r="522" spans="1:43" x14ac:dyDescent="0.35">
      <c r="A522">
        <v>314350</v>
      </c>
      <c r="B522" t="s">
        <v>726</v>
      </c>
      <c r="C522" t="s">
        <v>727</v>
      </c>
      <c r="D522" t="s">
        <v>728</v>
      </c>
      <c r="E522" t="s">
        <v>729</v>
      </c>
      <c r="F522" t="s">
        <v>2623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 t="s">
        <v>102</v>
      </c>
      <c r="R522" t="s">
        <v>102</v>
      </c>
      <c r="S522" t="s">
        <v>102</v>
      </c>
      <c r="T522" t="s">
        <v>102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 t="s">
        <v>102</v>
      </c>
      <c r="AD522" t="s">
        <v>102</v>
      </c>
      <c r="AE522" t="s">
        <v>102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</row>
    <row r="523" spans="1:43" x14ac:dyDescent="0.35">
      <c r="A523">
        <v>314250</v>
      </c>
      <c r="B523" t="s">
        <v>732</v>
      </c>
      <c r="C523" t="s">
        <v>733</v>
      </c>
      <c r="D523" t="s">
        <v>734</v>
      </c>
      <c r="E523" t="s">
        <v>735</v>
      </c>
      <c r="F523" t="s">
        <v>2624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 t="s">
        <v>102</v>
      </c>
      <c r="R523" t="s">
        <v>102</v>
      </c>
      <c r="S523" t="s">
        <v>102</v>
      </c>
      <c r="T523" t="s">
        <v>102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 t="s">
        <v>102</v>
      </c>
      <c r="AD523" t="s">
        <v>102</v>
      </c>
      <c r="AE523" t="s">
        <v>102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</row>
    <row r="524" spans="1:43" x14ac:dyDescent="0.35">
      <c r="A524">
        <v>314150</v>
      </c>
      <c r="B524" t="s">
        <v>2625</v>
      </c>
      <c r="C524" t="s">
        <v>2626</v>
      </c>
      <c r="D524" t="s">
        <v>2627</v>
      </c>
      <c r="E524" t="s">
        <v>2628</v>
      </c>
      <c r="F524" t="s">
        <v>2629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 t="s">
        <v>102</v>
      </c>
      <c r="R524" t="s">
        <v>102</v>
      </c>
      <c r="S524" t="s">
        <v>102</v>
      </c>
      <c r="T524" t="s">
        <v>102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 t="s">
        <v>102</v>
      </c>
      <c r="AD524" t="s">
        <v>102</v>
      </c>
      <c r="AE524" t="s">
        <v>102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</row>
    <row r="525" spans="1:43" x14ac:dyDescent="0.35">
      <c r="A525">
        <v>314050</v>
      </c>
      <c r="B525" t="s">
        <v>748</v>
      </c>
      <c r="C525" t="s">
        <v>749</v>
      </c>
      <c r="D525" t="s">
        <v>750</v>
      </c>
      <c r="E525" t="s">
        <v>751</v>
      </c>
      <c r="F525" t="s">
        <v>2630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N525" t="s">
        <v>102</v>
      </c>
      <c r="O525" t="s">
        <v>102</v>
      </c>
      <c r="P525" t="s">
        <v>102</v>
      </c>
      <c r="Q525" t="s">
        <v>102</v>
      </c>
      <c r="R525" t="s">
        <v>102</v>
      </c>
      <c r="S525" t="s">
        <v>102</v>
      </c>
      <c r="T525" t="s">
        <v>102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 t="s">
        <v>102</v>
      </c>
      <c r="AD525" t="s">
        <v>102</v>
      </c>
      <c r="AE525" t="s">
        <v>102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</row>
    <row r="526" spans="1:43" x14ac:dyDescent="0.35">
      <c r="A526">
        <v>318000</v>
      </c>
      <c r="B526" t="s">
        <v>835</v>
      </c>
      <c r="C526" t="s">
        <v>836</v>
      </c>
      <c r="D526" t="s">
        <v>837</v>
      </c>
      <c r="E526" t="s">
        <v>838</v>
      </c>
      <c r="F526" t="s">
        <v>839</v>
      </c>
    </row>
    <row r="527" spans="1:43" x14ac:dyDescent="0.35">
      <c r="A527">
        <v>318100</v>
      </c>
      <c r="B527" t="s">
        <v>2760</v>
      </c>
      <c r="C527" t="s">
        <v>2761</v>
      </c>
      <c r="D527" t="s">
        <v>837</v>
      </c>
      <c r="E527" t="s">
        <v>2762</v>
      </c>
      <c r="F527" t="s">
        <v>839</v>
      </c>
    </row>
    <row r="528" spans="1:43" x14ac:dyDescent="0.35">
      <c r="A528" t="s">
        <v>2631</v>
      </c>
      <c r="B528" t="s">
        <v>148</v>
      </c>
      <c r="C528" t="s">
        <v>149</v>
      </c>
      <c r="D528" t="s">
        <v>150</v>
      </c>
      <c r="E528" t="s">
        <v>151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</row>
    <row r="529" spans="1:43" x14ac:dyDescent="0.35">
      <c r="A529" t="s">
        <v>2632</v>
      </c>
      <c r="B529" t="s">
        <v>286</v>
      </c>
      <c r="C529" t="s">
        <v>287</v>
      </c>
      <c r="D529" t="s">
        <v>288</v>
      </c>
      <c r="E529" t="s">
        <v>289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</row>
    <row r="530" spans="1:43" x14ac:dyDescent="0.35">
      <c r="A530" t="s">
        <v>2633</v>
      </c>
      <c r="B530" t="s">
        <v>2613</v>
      </c>
      <c r="C530" t="s">
        <v>2614</v>
      </c>
      <c r="D530" t="s">
        <v>2615</v>
      </c>
      <c r="E530" t="s">
        <v>2616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</row>
    <row r="531" spans="1:43" x14ac:dyDescent="0.35">
      <c r="A531" t="s">
        <v>2634</v>
      </c>
      <c r="B531" t="s">
        <v>429</v>
      </c>
      <c r="C531" t="s">
        <v>430</v>
      </c>
      <c r="D531" t="s">
        <v>431</v>
      </c>
      <c r="E531" t="s">
        <v>432</v>
      </c>
    </row>
    <row r="532" spans="1:43" x14ac:dyDescent="0.35">
      <c r="A532" t="s">
        <v>2635</v>
      </c>
      <c r="B532" t="s">
        <v>2636</v>
      </c>
      <c r="C532" t="s">
        <v>2619</v>
      </c>
      <c r="D532" t="s">
        <v>2620</v>
      </c>
      <c r="E532" t="s">
        <v>2621</v>
      </c>
    </row>
    <row r="533" spans="1:43" x14ac:dyDescent="0.35">
      <c r="A533" t="s">
        <v>2637</v>
      </c>
      <c r="B533" t="s">
        <v>434</v>
      </c>
      <c r="C533" t="s">
        <v>435</v>
      </c>
      <c r="D533" t="s">
        <v>436</v>
      </c>
      <c r="E533" t="s">
        <v>437</v>
      </c>
    </row>
    <row r="534" spans="1:43" x14ac:dyDescent="0.35">
      <c r="A534" t="s">
        <v>94</v>
      </c>
      <c r="B534" t="s">
        <v>27</v>
      </c>
      <c r="C534" t="s">
        <v>2462</v>
      </c>
      <c r="D534" t="s">
        <v>2463</v>
      </c>
      <c r="E534" t="s">
        <v>2464</v>
      </c>
      <c r="F534" t="s">
        <v>2465</v>
      </c>
    </row>
    <row r="535" spans="1:43" x14ac:dyDescent="0.35">
      <c r="A535" t="s">
        <v>2638</v>
      </c>
      <c r="B535" t="s">
        <v>2639</v>
      </c>
      <c r="C535" t="s">
        <v>2640</v>
      </c>
      <c r="D535" t="s">
        <v>2641</v>
      </c>
      <c r="E535" t="s">
        <v>2642</v>
      </c>
      <c r="F535" t="s">
        <v>2643</v>
      </c>
    </row>
    <row r="536" spans="1:43" x14ac:dyDescent="0.35">
      <c r="A536" t="s">
        <v>2644</v>
      </c>
      <c r="B536" t="s">
        <v>2645</v>
      </c>
      <c r="C536" t="s">
        <v>554</v>
      </c>
      <c r="D536" t="s">
        <v>555</v>
      </c>
      <c r="E536" t="s">
        <v>556</v>
      </c>
      <c r="F536" t="s">
        <v>557</v>
      </c>
    </row>
    <row r="537" spans="1:43" x14ac:dyDescent="0.35">
      <c r="A537" t="s">
        <v>2646</v>
      </c>
      <c r="B537" t="s">
        <v>2647</v>
      </c>
      <c r="C537" t="s">
        <v>820</v>
      </c>
      <c r="D537" t="s">
        <v>821</v>
      </c>
      <c r="E537" t="s">
        <v>822</v>
      </c>
      <c r="F537" t="s">
        <v>823</v>
      </c>
    </row>
    <row r="538" spans="1:43" x14ac:dyDescent="0.35">
      <c r="A538" t="s">
        <v>2648</v>
      </c>
      <c r="B538" t="s">
        <v>2649</v>
      </c>
      <c r="C538" t="s">
        <v>2446</v>
      </c>
      <c r="D538" t="s">
        <v>2447</v>
      </c>
      <c r="E538" t="s">
        <v>2448</v>
      </c>
      <c r="F538" t="s">
        <v>2449</v>
      </c>
    </row>
    <row r="539" spans="1:43" x14ac:dyDescent="0.35">
      <c r="A539" t="s">
        <v>2650</v>
      </c>
      <c r="B539" t="s">
        <v>2651</v>
      </c>
      <c r="C539" t="s">
        <v>2451</v>
      </c>
      <c r="D539" t="s">
        <v>2452</v>
      </c>
      <c r="E539" t="s">
        <v>2453</v>
      </c>
      <c r="F539" t="s">
        <v>2454</v>
      </c>
    </row>
    <row r="540" spans="1:43" x14ac:dyDescent="0.35">
      <c r="A540" t="s">
        <v>2652</v>
      </c>
      <c r="B540" t="s">
        <v>2653</v>
      </c>
      <c r="C540" t="s">
        <v>1876</v>
      </c>
      <c r="D540" t="s">
        <v>2654</v>
      </c>
      <c r="E540" t="s">
        <v>2655</v>
      </c>
      <c r="F540" t="s">
        <v>2656</v>
      </c>
    </row>
    <row r="541" spans="1:43" x14ac:dyDescent="0.35">
      <c r="A541">
        <v>310000</v>
      </c>
      <c r="B541" t="s">
        <v>2657</v>
      </c>
      <c r="C541" t="s">
        <v>2658</v>
      </c>
      <c r="D541" t="s">
        <v>2659</v>
      </c>
      <c r="E541" t="s">
        <v>2660</v>
      </c>
      <c r="F541" t="s">
        <v>2661</v>
      </c>
    </row>
    <row r="542" spans="1:43" x14ac:dyDescent="0.35">
      <c r="A542">
        <v>321000</v>
      </c>
      <c r="B542" t="s">
        <v>2662</v>
      </c>
      <c r="C542" t="s">
        <v>2663</v>
      </c>
      <c r="D542" t="s">
        <v>2664</v>
      </c>
      <c r="E542" t="s">
        <v>2665</v>
      </c>
      <c r="F542" t="s">
        <v>2666</v>
      </c>
    </row>
    <row r="543" spans="1:43" x14ac:dyDescent="0.35">
      <c r="A543" t="s">
        <v>2667</v>
      </c>
      <c r="B543" t="s">
        <v>2668</v>
      </c>
      <c r="C543" t="s">
        <v>277</v>
      </c>
      <c r="D543" t="s">
        <v>278</v>
      </c>
      <c r="E543" t="s">
        <v>279</v>
      </c>
      <c r="F543" t="s">
        <v>280</v>
      </c>
    </row>
    <row r="544" spans="1:43" x14ac:dyDescent="0.35">
      <c r="A544" t="s">
        <v>2669</v>
      </c>
      <c r="B544" t="s">
        <v>2670</v>
      </c>
      <c r="C544" t="s">
        <v>2671</v>
      </c>
      <c r="D544" t="s">
        <v>2672</v>
      </c>
      <c r="E544" t="s">
        <v>2673</v>
      </c>
      <c r="F544" t="s">
        <v>2674</v>
      </c>
    </row>
    <row r="545" spans="1:6" x14ac:dyDescent="0.35">
      <c r="A545" t="s">
        <v>2675</v>
      </c>
      <c r="B545" t="s">
        <v>2676</v>
      </c>
      <c r="C545" t="s">
        <v>2677</v>
      </c>
      <c r="D545" t="s">
        <v>2678</v>
      </c>
      <c r="E545" t="s">
        <v>2679</v>
      </c>
      <c r="F545" t="s">
        <v>2680</v>
      </c>
    </row>
    <row r="546" spans="1:6" x14ac:dyDescent="0.35">
      <c r="A546" t="s">
        <v>2681</v>
      </c>
      <c r="B546" t="s">
        <v>2682</v>
      </c>
      <c r="C546" t="s">
        <v>2683</v>
      </c>
      <c r="D546" t="s">
        <v>2684</v>
      </c>
      <c r="E546" t="s">
        <v>2685</v>
      </c>
      <c r="F546" t="s">
        <v>2686</v>
      </c>
    </row>
    <row r="547" spans="1:6" x14ac:dyDescent="0.35">
      <c r="B547" s="17"/>
      <c r="C547" s="17"/>
      <c r="D547" s="17"/>
      <c r="E547" s="17"/>
    </row>
    <row r="548" spans="1:6" x14ac:dyDescent="0.35">
      <c r="A548" s="3" t="s">
        <v>2687</v>
      </c>
      <c r="B548" t="s">
        <v>2688</v>
      </c>
      <c r="C548" t="s">
        <v>2689</v>
      </c>
      <c r="D548" t="s">
        <v>2690</v>
      </c>
      <c r="E548" t="s">
        <v>2691</v>
      </c>
      <c r="F548" t="s">
        <v>2692</v>
      </c>
    </row>
    <row r="549" spans="1:6" x14ac:dyDescent="0.35">
      <c r="A549" s="3" t="s">
        <v>2693</v>
      </c>
      <c r="B549" t="s">
        <v>2694</v>
      </c>
      <c r="C549" t="s">
        <v>2695</v>
      </c>
      <c r="D549" t="s">
        <v>2696</v>
      </c>
      <c r="E549" t="s">
        <v>2697</v>
      </c>
      <c r="F549" t="s">
        <v>2698</v>
      </c>
    </row>
    <row r="550" spans="1:6" x14ac:dyDescent="0.35">
      <c r="A550" s="3" t="s">
        <v>2699</v>
      </c>
      <c r="B550" t="s">
        <v>986</v>
      </c>
      <c r="C550" t="s">
        <v>2700</v>
      </c>
      <c r="D550" t="s">
        <v>2701</v>
      </c>
      <c r="E550" t="s">
        <v>2702</v>
      </c>
      <c r="F550" t="s">
        <v>2703</v>
      </c>
    </row>
    <row r="551" spans="1:6" x14ac:dyDescent="0.35">
      <c r="A551" s="3" t="s">
        <v>2704</v>
      </c>
      <c r="B551" t="s">
        <v>118</v>
      </c>
      <c r="C551" t="s">
        <v>2705</v>
      </c>
      <c r="D551" t="s">
        <v>766</v>
      </c>
      <c r="E551" t="s">
        <v>2706</v>
      </c>
      <c r="F551" t="s">
        <v>122</v>
      </c>
    </row>
    <row r="552" spans="1:6" x14ac:dyDescent="0.35">
      <c r="A552" s="18">
        <v>0</v>
      </c>
      <c r="B552" s="19" t="s">
        <v>2707</v>
      </c>
      <c r="C552" s="19" t="s">
        <v>1015</v>
      </c>
      <c r="D552" s="19" t="s">
        <v>2708</v>
      </c>
      <c r="E552" s="19" t="s">
        <v>2709</v>
      </c>
    </row>
    <row r="553" spans="1:6" x14ac:dyDescent="0.35">
      <c r="A553" s="20">
        <v>1</v>
      </c>
      <c r="B553" s="19" t="s">
        <v>2710</v>
      </c>
      <c r="C553" s="19" t="s">
        <v>2711</v>
      </c>
      <c r="D553" s="19" t="s">
        <v>2712</v>
      </c>
      <c r="E553" s="19" t="s">
        <v>2713</v>
      </c>
    </row>
    <row r="554" spans="1:6" x14ac:dyDescent="0.35">
      <c r="A554">
        <v>2</v>
      </c>
      <c r="B554" s="19" t="s">
        <v>2714</v>
      </c>
      <c r="C554" s="19" t="s">
        <v>2715</v>
      </c>
      <c r="D554" s="19" t="s">
        <v>2716</v>
      </c>
      <c r="E554" s="19" t="s">
        <v>2717</v>
      </c>
    </row>
    <row r="555" spans="1:6" x14ac:dyDescent="0.35">
      <c r="A555">
        <v>3</v>
      </c>
      <c r="B555" s="19" t="s">
        <v>2718</v>
      </c>
      <c r="C555" s="19" t="s">
        <v>2719</v>
      </c>
      <c r="D555" s="19" t="s">
        <v>2720</v>
      </c>
      <c r="E555" s="19" t="s">
        <v>2721</v>
      </c>
    </row>
    <row r="556" spans="1:6" x14ac:dyDescent="0.35">
      <c r="A556" s="21" t="s">
        <v>2722</v>
      </c>
      <c r="B556" t="s">
        <v>2723</v>
      </c>
      <c r="C556" t="s">
        <v>2724</v>
      </c>
      <c r="D556" t="s">
        <v>2725</v>
      </c>
      <c r="E556" t="s">
        <v>2726</v>
      </c>
      <c r="F556" t="s">
        <v>2723</v>
      </c>
    </row>
    <row r="558" spans="1:6" x14ac:dyDescent="0.35">
      <c r="A558" t="s">
        <v>2727</v>
      </c>
      <c r="B558" s="19" t="s">
        <v>2728</v>
      </c>
      <c r="C558" t="s">
        <v>2729</v>
      </c>
      <c r="D558" t="s">
        <v>2730</v>
      </c>
      <c r="E558" t="s">
        <v>2731</v>
      </c>
    </row>
    <row r="559" spans="1:6" x14ac:dyDescent="0.35">
      <c r="A559" t="s">
        <v>2732</v>
      </c>
      <c r="B559" s="19" t="s">
        <v>2733</v>
      </c>
      <c r="C559" t="s">
        <v>2734</v>
      </c>
      <c r="D559" t="s">
        <v>2735</v>
      </c>
      <c r="E559" t="s">
        <v>2736</v>
      </c>
    </row>
    <row r="561" spans="1:6" x14ac:dyDescent="0.35">
      <c r="A561" t="s">
        <v>2737</v>
      </c>
      <c r="B561" t="s">
        <v>2738</v>
      </c>
      <c r="C561" t="s">
        <v>2739</v>
      </c>
      <c r="D561" t="s">
        <v>2740</v>
      </c>
      <c r="E561" t="s">
        <v>2741</v>
      </c>
      <c r="F561" t="s">
        <v>2742</v>
      </c>
    </row>
    <row r="562" spans="1:6" x14ac:dyDescent="0.35">
      <c r="A562" t="s">
        <v>2743</v>
      </c>
      <c r="B562" t="s">
        <v>21</v>
      </c>
      <c r="C562" t="s">
        <v>2744</v>
      </c>
      <c r="D562" t="s">
        <v>2745</v>
      </c>
      <c r="E562" t="s">
        <v>2746</v>
      </c>
      <c r="F562" t="s">
        <v>2747</v>
      </c>
    </row>
    <row r="564" spans="1:6" x14ac:dyDescent="0.35">
      <c r="A564" t="s">
        <v>2748</v>
      </c>
      <c r="B564" t="s">
        <v>2749</v>
      </c>
      <c r="C564" t="s">
        <v>2750</v>
      </c>
      <c r="D564" t="s">
        <v>2751</v>
      </c>
      <c r="E564" t="s">
        <v>2752</v>
      </c>
      <c r="F564" t="s">
        <v>2753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3235B6-717C-4D69-9BD0-3879091E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2022.02</vt:lpstr>
      <vt:lpstr>Balance sheet 2022.02</vt:lpstr>
      <vt:lpstr>P&amp;L 2022.02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2023-06-19T06:54:05Z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